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Cover" sheetId="1" state="visible" r:id="rId3"/>
    <sheet name="1. Outline Kurikulum MT" sheetId="2" state="visible" r:id="rId4"/>
    <sheet name="1b. Flow Diagram MT" sheetId="3" state="visible" r:id="rId5"/>
    <sheet name="2. GanttChart MT" sheetId="4" state="visible" r:id="rId6"/>
    <sheet name="2b. Flow Program MT" sheetId="5" state="visible" r:id="rId7"/>
    <sheet name="3. Silabus MT" sheetId="6" state="visible" r:id="rId8"/>
    <sheet name="4. Budget MT" sheetId="7" state="visible" r:id="rId9"/>
    <sheet name="5. Penilaian MT" sheetId="8" state="visible" r:id="rId10"/>
    <sheet name="6. Silabus Onboarding" sheetId="9" state="visible" r:id="rId11"/>
    <sheet name="7. Penilaian Onboarding" sheetId="10" state="visible" r:id="rId12"/>
    <sheet name="8. Timeline Onboarding" sheetId="11" state="visible" r:id="rId13"/>
    <sheet name="8b. Flow Diagram Onboarding" sheetId="12" state="visible" r:id="rId14"/>
    <sheet name="9. Budget Onboarding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<sst xmlns="http://schemas.openxmlformats.org/spreadsheetml/2006/main" count="860" uniqueCount="518">
  <si>
    <t xml:space="preserve">PROGRAM MANAGEMENT TRAINEE (MT) &amp; ONBOARDING
PT MIE PEDAS RAYA</t>
  </si>
  <si>
    <t xml:space="preserve">Disusun oleh</t>
  </si>
  <si>
    <t xml:space="preserve">: Training &amp; Development Staff</t>
  </si>
  <si>
    <t xml:space="preserve">Tujuan</t>
  </si>
  <si>
    <t xml:space="preserve">: Mendukung rencana ekspansi 2 outlet baru (Bogor &amp; Jakarta Selatan) dalam 2 tahun melalui pembentukan talent internal (Program MT) dan standarisasi onboarding karyawan baru.</t>
  </si>
  <si>
    <t xml:space="preserve">TUGAS 1 - PROGRAM MANAGEMENT TRAINEE (MT)</t>
  </si>
  <si>
    <t xml:space="preserve">1. Outline Kurikulum MT</t>
  </si>
  <si>
    <t xml:space="preserve">2. Gantt Chart MT (Rekrutmen s.d. Penempatan, 12 bulan)</t>
  </si>
  <si>
    <t xml:space="preserve">3. Silabus Program MT</t>
  </si>
  <si>
    <t xml:space="preserve">4. Budget Program MT</t>
  </si>
  <si>
    <t xml:space="preserve">5. Penilaian / PEPA Program MT</t>
  </si>
  <si>
    <t xml:space="preserve">TUGAS 2 - PROGRAM ONBOARDING CREW OUTLET &amp; STAFF HO BARU</t>
  </si>
  <si>
    <t xml:space="preserve">6. Silabus Onboarding</t>
  </si>
  <si>
    <t xml:space="preserve">7. Penilaian / PEPA Onboarding (Evaluasi Masa Probation 3 Bulan)</t>
  </si>
  <si>
    <t xml:space="preserve">8. Timeline Onboarding (Gantt Chart, 12 minggu)</t>
  </si>
  <si>
    <t xml:space="preserve">9. Budget Onboarding</t>
  </si>
  <si>
    <t xml:space="preserve">RINGKASAN KEBUTUHAN PROGRAM MT (Berdasarkan Manpower Planning)</t>
  </si>
  <si>
    <t xml:space="preserve">Divisi</t>
  </si>
  <si>
    <t xml:space="preserve">Posisi</t>
  </si>
  <si>
    <t xml:space="preserve">Headcount</t>
  </si>
  <si>
    <t xml:space="preserve">Keterangan</t>
  </si>
  <si>
    <t xml:space="preserve">Management Trainee</t>
  </si>
  <si>
    <t xml:space="preserve">Supervisor Outlet</t>
  </si>
  <si>
    <t xml:space="preserve">Track Operasional - durasi MT 12 bulan</t>
  </si>
  <si>
    <t xml:space="preserve">Asisten Supervisor</t>
  </si>
  <si>
    <t xml:space="preserve">Manager Outlet</t>
  </si>
  <si>
    <t xml:space="preserve">Track Operasional - durasi MT 12 bulan, materi lebih lengkap (P&amp;L, Forecasting, Vendor Mgmt)</t>
  </si>
  <si>
    <t xml:space="preserve">Total Peserta MT</t>
  </si>
  <si>
    <t xml:space="preserve">OUTLINE KURIKULUM MANAGEMENT TRAINEE (MT) - TRACK OPERASIONAL
Target Penempatan: Asisten Supervisor / Supervisor Outlet / Manager Outlet</t>
  </si>
  <si>
    <t xml:space="preserve">No</t>
  </si>
  <si>
    <t xml:space="preserve">Fase</t>
  </si>
  <si>
    <t xml:space="preserve">Kategori</t>
  </si>
  <si>
    <t xml:space="preserve">Materi</t>
  </si>
  <si>
    <t xml:space="preserve">Topik (Asisten SPV &amp; SPV Outlet)</t>
  </si>
  <si>
    <t xml:space="preserve">Topik Tambahan (Manager Outlet)</t>
  </si>
  <si>
    <t xml:space="preserve">1</t>
  </si>
  <si>
    <t xml:space="preserve">IN CLASS TRAINING</t>
  </si>
  <si>
    <t xml:space="preserve">Onboarding</t>
  </si>
  <si>
    <t xml:space="preserve">Materi Orientasi Karyawan Baru</t>
  </si>
  <si>
    <t xml:space="preserve">Company Profile, Visi-Misi &amp; Budaya Kerja PT Mie Pedas Raya; Struktur Organisasi &amp; Job Description; Peraturan Perusahaan &amp; PKB; K3 dan Higiene Dapur (HACCP dasar); Sistem HRIS, Absensi &amp; Penggajian</t>
  </si>
  <si>
    <t xml:space="preserve">-</t>
  </si>
  <si>
    <t xml:space="preserve">2</t>
  </si>
  <si>
    <t xml:space="preserve">Product Knowledge</t>
  </si>
  <si>
    <t xml:space="preserve">Pengenalan Produk</t>
  </si>
  <si>
    <t xml:space="preserve">Sejarah &amp; Filosofi Produk Mie Pedas dan Dimsum; Varian Menu &amp; Resep Standar (Bumbu, Porsi, Plating); SOP Quality Control &amp; Food Safety</t>
  </si>
  <si>
    <t xml:space="preserve">Pengembangan &amp; Inovasi Produk Baru; Analisis Tren Pasar F&amp;B</t>
  </si>
  <si>
    <t xml:space="preserve">3</t>
  </si>
  <si>
    <t xml:space="preserve">Technical Skills</t>
  </si>
  <si>
    <t xml:space="preserve">Basic Operation</t>
  </si>
  <si>
    <t xml:space="preserve">SOP Kasir &amp; Sistem POS; SOP Kitchen Flow (Mise en Place, Cooking, Plating); SOP Service &amp; Standar Penyajian; Inventory &amp; Stock Management (FIFO/FEFO)</t>
  </si>
  <si>
    <t xml:space="preserve">4</t>
  </si>
  <si>
    <t xml:space="preserve">Financial Management</t>
  </si>
  <si>
    <t xml:space="preserve">Cash Handling &amp; Daily Sales Report; Food Cost &amp; COGS Control; Dasar Budgeting Operasional Harian</t>
  </si>
  <si>
    <t xml:space="preserve">P&amp;L Outlet &amp; Analisa Margin; Forecasting Penjualan &amp; Perencanaan Stok; Supplier &amp; Vendor Management; Compliance &amp; Audit Outlet</t>
  </si>
  <si>
    <t xml:space="preserve">5</t>
  </si>
  <si>
    <t xml:space="preserve">Soft Skills</t>
  </si>
  <si>
    <t xml:space="preserve">Leadership</t>
  </si>
  <si>
    <t xml:space="preserve">Leadership Role as a Leader; Delegasi Tugas &amp; Coaching Tim Shift</t>
  </si>
  <si>
    <t xml:space="preserve">Performance Management &amp; Conflict Resolution; Pengambilan Keputusan Strategis Outlet</t>
  </si>
  <si>
    <t xml:space="preserve">6</t>
  </si>
  <si>
    <t xml:space="preserve">Communication &amp; Service Excellence</t>
  </si>
  <si>
    <t xml:space="preserve">Customer Service Excellence; Complaint Handling &amp; Service Recovery</t>
  </si>
  <si>
    <t xml:space="preserve">7</t>
  </si>
  <si>
    <t xml:space="preserve">Problem Solving &amp; Decision Making</t>
  </si>
  <si>
    <t xml:space="preserve">Identifikasi Masalah Operasional; Pengambilan Keputusan Cepat di Lapangan</t>
  </si>
  <si>
    <t xml:space="preserve">Studi Kasus Pengambilan Keputusan Bisnis Outlet</t>
  </si>
  <si>
    <t xml:space="preserve">8</t>
  </si>
  <si>
    <t xml:space="preserve">ON THE JOB TRAINING</t>
  </si>
  <si>
    <t xml:space="preserve">Kriteria Technical Skills</t>
  </si>
  <si>
    <t xml:space="preserve">Penilaian Operasional</t>
  </si>
  <si>
    <t xml:space="preserve">Cashier Simulation; Kitchen Production Simulation; Customer Service Live; Stock Take &amp; Inventory Audit; Penyusunan Laporan Harian/Mingguan</t>
  </si>
  <si>
    <t xml:space="preserve">Tambahan: Review &amp; Analisa Laporan P&amp;L Bulanan Outlet</t>
  </si>
  <si>
    <t xml:space="preserve">9</t>
  </si>
  <si>
    <t xml:space="preserve">Kriteria Soft Skills</t>
  </si>
  <si>
    <t xml:space="preserve">Penilaian Perilaku Kerja</t>
  </si>
  <si>
    <t xml:space="preserve">Problem Solving and Decision Making; Leadership saat Memimpin Shift; Koordinasi Tim; Adaptasi &amp; Inisiatif</t>
  </si>
  <si>
    <t xml:space="preserve">10</t>
  </si>
  <si>
    <t xml:space="preserve">COMPREHENSION (FINAL)</t>
  </si>
  <si>
    <t xml:space="preserve">Penilaian Akhir</t>
  </si>
  <si>
    <t xml:space="preserve">Comprehension</t>
  </si>
  <si>
    <t xml:space="preserve">Presentasi Proyek Improvement Outlet (Final Project); Final Exam tertulis &amp; studi kasus; Wawancara Penempatan oleh Manajemen</t>
  </si>
  <si>
    <t xml:space="preserve">FLOW PROGRAM MANAGEMENT TRAINEE (MT) - PT MIE PEDAS RAYA</t>
  </si>
  <si>
    <t xml:space="preserve">Manpower Planning,
Jobdesc &amp; Jobspec MT</t>
  </si>
  <si>
    <t xml:space="preserve">↓</t>
  </si>
  <si>
    <t xml:space="preserve">Open Vacancy &amp; Sourcing
(Internal &amp; Eksternal)</t>
  </si>
  <si>
    <t xml:space="preserve">Screening CV -&gt; Psikotes
&amp; FGD -&gt; Interview HR + User</t>
  </si>
  <si>
    <t xml:space="preserve">Offering &amp; Administrasi
Onboarding</t>
  </si>
  <si>
    <t xml:space="preserve">IN CLASS TRAINING
(1 Bulan): Onboarding,
Product Knowledge,
Technical &amp; Soft Skill</t>
  </si>
  <si>
    <t xml:space="preserve">Tidak
Lulus</t>
  </si>
  <si>
    <t xml:space="preserve">Test Akhir In Class
(Final Exam Tertulis)</t>
  </si>
  <si>
    <t xml:space="preserve">Lulus</t>
  </si>
  <si>
    <t xml:space="preserve">TIDAK LULUS
-&gt; Mengulang Materi
In Class (Remedial 2 Minggu)</t>
  </si>
  <si>
    <t xml:space="preserve">LULUS -&gt; Lanjut OJT</t>
  </si>
  <si>
    <t xml:space="preserve">OJT TAHAP 1 &amp; 2 (4 Bulan)
Basic Operation, Financial
Management, Leadership</t>
  </si>
  <si>
    <t xml:space="preserve">Evaluasi Bulanan OJT
olehMentor (SPV/Manager)</t>
  </si>
  <si>
    <t xml:space="preserve">Rotasi Outlet &amp;
Praktik Mandiri (2 Bulan)</t>
  </si>
  <si>
    <t xml:space="preserve">COMPREHENSION:
Presentasi Final Project
+ Final Exam</t>
  </si>
  <si>
    <t xml:space="preserve">FINAL EVALUATION
(Rekap PEPA -&gt; Klasifikasi A/B/C/D)</t>
  </si>
  <si>
    <t xml:space="preserve">-&gt;</t>
  </si>
  <si>
    <t xml:space="preserve">A</t>
  </si>
  <si>
    <t xml:space="preserve">Klasifikasi A (&gt;=85)
-&gt; PENEMPATAN sebagai
MANAGER OUTLET
(Bogor/Jaksel)</t>
  </si>
  <si>
    <t xml:space="preserve">Klasifikasi B (75-84.9)
-&gt; PENEMPATAN sebagai
SUPERVISOR OUTLET</t>
  </si>
  <si>
    <t xml:space="preserve">Klasifikasi C (65-74.9)
-&gt; PENEMPATAN sebagai
ASISTEN SUPERVISOR</t>
  </si>
  <si>
    <t xml:space="preserve">Klasifikasi D (&lt;65)
-&gt; TIDAK LOLOS MT
-&gt; Opsi: kembali sebagai
Crew Outlet, atau
mengulang MT batch
selanjutnya (max 1x),
atau evaluasi PHK
sesuai kebijakan HR</t>
  </si>
  <si>
    <t xml:space="preserve">Tahapan Proses</t>
  </si>
  <si>
    <t xml:space="preserve">Pelaksanaan Training/OJT</t>
  </si>
  <si>
    <t xml:space="preserve">Titik Keputusan / Evaluasi</t>
  </si>
  <si>
    <t xml:space="preserve">Hasil Lolos</t>
  </si>
  <si>
    <t xml:space="preserve">Hasil Tidak Lolos</t>
  </si>
  <si>
    <t xml:space="preserve">GANTT CHART PROGRAM MANAGEMENT TRAINEE (MT)
Rekrutmen s.d. Penempatan Resmi - Durasi 12 Bulan</t>
  </si>
  <si>
    <t xml:space="preserve">Tahapan / Kegiatan</t>
  </si>
  <si>
    <t xml:space="preserve">PIC</t>
  </si>
  <si>
    <t xml:space="preserve">Durasi</t>
  </si>
  <si>
    <t xml:space="preserve">% Selesai</t>
  </si>
  <si>
    <t xml:space="preserve">Bln 1</t>
  </si>
  <si>
    <t xml:space="preserve">Bln 2</t>
  </si>
  <si>
    <t xml:space="preserve">Bln 3</t>
  </si>
  <si>
    <t xml:space="preserve">Bln 4</t>
  </si>
  <si>
    <t xml:space="preserve">Bln 5</t>
  </si>
  <si>
    <t xml:space="preserve">Bln 6</t>
  </si>
  <si>
    <t xml:space="preserve">Bln 7</t>
  </si>
  <si>
    <t xml:space="preserve">Bln 8</t>
  </si>
  <si>
    <t xml:space="preserve">Bln 9</t>
  </si>
  <si>
    <t xml:space="preserve">Bln 10</t>
  </si>
  <si>
    <t xml:space="preserve">Bln 11</t>
  </si>
  <si>
    <t xml:space="preserve">Bln 12</t>
  </si>
  <si>
    <t xml:space="preserve">Manpower Planning, Fixation Jobdesc &amp; Jobspec</t>
  </si>
  <si>
    <t xml:space="preserve">Tim HR</t>
  </si>
  <si>
    <t xml:space="preserve">2 Minggu</t>
  </si>
  <si>
    <t xml:space="preserve">0%</t>
  </si>
  <si>
    <t xml:space="preserve">Open Vacancy &amp; Sourcing Kandidat (Internal &amp; Eksternal)</t>
  </si>
  <si>
    <t xml:space="preserve">1.5 Bulan</t>
  </si>
  <si>
    <t xml:space="preserve">Screening CV</t>
  </si>
  <si>
    <t xml:space="preserve">Psikotes &amp; Focus Group Discussion (FGD)</t>
  </si>
  <si>
    <t xml:space="preserve">Interview HR + User (Manager Operasional)</t>
  </si>
  <si>
    <t xml:space="preserve">HR + Manager</t>
  </si>
  <si>
    <t xml:space="preserve">Offering, Administrasi &amp; Persiapan Onboarding</t>
  </si>
  <si>
    <t xml:space="preserve">In Class Training (Onboarding, Product Knowledge, Technical &amp; Soft Skill)</t>
  </si>
  <si>
    <t xml:space="preserve">Tim Training &amp; HR</t>
  </si>
  <si>
    <t xml:space="preserve">1 Bulan</t>
  </si>
  <si>
    <t xml:space="preserve">OJT Tahap 1 - Basic Operation (Outlet Margonda/Sawangan)</t>
  </si>
  <si>
    <t xml:space="preserve">SPV Outlet</t>
  </si>
  <si>
    <t xml:space="preserve">2 Bulan</t>
  </si>
  <si>
    <t xml:space="preserve">OJT Tahap 2 - Financial Management &amp; Leadership</t>
  </si>
  <si>
    <t xml:space="preserve">Manager Operasional</t>
  </si>
  <si>
    <t xml:space="preserve">Rotasi Outlet &amp; Praktik Mandiri</t>
  </si>
  <si>
    <t xml:space="preserve">11</t>
  </si>
  <si>
    <t xml:space="preserve">Comprehension - Presentasi Final Project &amp; Final Exam</t>
  </si>
  <si>
    <t xml:space="preserve">HR + Manajemen</t>
  </si>
  <si>
    <t xml:space="preserve">3 Minggu</t>
  </si>
  <si>
    <t xml:space="preserve">12</t>
  </si>
  <si>
    <t xml:space="preserve">Final Evaluation, Klasifikasi &amp; Keputusan Penempatan</t>
  </si>
  <si>
    <t xml:space="preserve">HR + Direktur Utama</t>
  </si>
  <si>
    <t xml:space="preserve">1 Minggu</t>
  </si>
  <si>
    <t xml:space="preserve">13</t>
  </si>
  <si>
    <t xml:space="preserve">Penempatan Resmi &amp; Onboarding ke Outlet Baru (Bogor/Jaksel)</t>
  </si>
  <si>
    <t xml:space="preserve">Catatan: Bar berwarna menunjukkan bulan pelaksanaan kegiatan. % Selesai diisi &amp; diupdate berkala oleh PIC saat program berjalan.</t>
  </si>
  <si>
    <t xml:space="preserve">Tahapan &amp; Deskripsi / Keputusan</t>
  </si>
  <si>
    <t xml:space="preserve">Rekrutmen &amp; Seleksi MT - Screening CV, Psikotes, FGD, dan Interview HR + User. Kandidat terpilih lanjut ke In Class Training.</t>
  </si>
  <si>
    <t xml:space="preserve">In Class Training (1 bulan) - Onboarding, Product Knowledge, Technical Skill (Basic Operation &amp; Financial Management), Soft Skill (Leadership, Communication, Problem Solving).</t>
  </si>
  <si>
    <t xml:space="preserve">OJT 6 Bulan + Rotasi Outlet (4 bulan) - Praktik langsung di outlet didampingi mentor (SPV/Manager), meliputi simulasi cashier/kitchen, laporan keuangan, dan kepemimpinan saat shift.</t>
  </si>
  <si>
    <t xml:space="preserve">Comprehension - Final Exam (tertulis &amp; studi kasus) dan Presentasi Final Project Improvement Outlet di hadapan panel manajemen.</t>
  </si>
  <si>
    <t xml:space="preserve">5a</t>
  </si>
  <si>
    <t xml:space="preserve">Hasil: Skor Final &gt;= 85 -&gt; Klasifikasi A -&gt; DITEMPATKAN sebagai Manager Outlet (outlet ekspansi Bogor/Jakarta Selatan).</t>
  </si>
  <si>
    <t xml:space="preserve">5b</t>
  </si>
  <si>
    <t xml:space="preserve">Hasil: Skor Final 75-84.9 -&gt; Klasifikasi B -&gt; DITEMPATKAN sebagai Supervisor Outlet.</t>
  </si>
  <si>
    <t xml:space="preserve">5c</t>
  </si>
  <si>
    <t xml:space="preserve">Hasil: Skor Final 65-74.9 -&gt; Klasifikasi C -&gt; DITEMPATKAN sebagai Asisten Supervisor.</t>
  </si>
  <si>
    <t xml:space="preserve">5d</t>
  </si>
  <si>
    <t xml:space="preserve">Hasil: Skor Final &lt; 65 -&gt; Klasifikasi D -&gt; TIDAK LOLOS. Karyawan tetap bekerja sebagai Crew Outlet (tidak PHK), dengan opsi mengikuti kembali program MT pada batch berikutnya setelah evaluasi 6 bulan.</t>
  </si>
  <si>
    <t xml:space="preserve">SILABUS PROGRAM MANAGEMENT TRAINEE (MT) - PT MIE PEDAS RAYA</t>
  </si>
  <si>
    <t xml:space="preserve">Level</t>
  </si>
  <si>
    <t xml:space="preserve">Asisten Supervisor / Supervisor Outlet / Manager Outlet (Track Operasional)</t>
  </si>
  <si>
    <t xml:space="preserve">Program Description</t>
  </si>
  <si>
    <t xml:space="preserve">Program pengembangan talent internal selama 12 bulan untuk membentuk calon pemimpin outlet yang menguasai operasional, keuangan dasar outlet, dan kepemimpinan, guna mendukung ekspansi outlet ke Bogor &amp; Jakarta Selatan.</t>
  </si>
  <si>
    <t xml:space="preserve">Program Objectives</t>
  </si>
  <si>
    <t xml:space="preserve">1) Memastikan kesiapan SDM untuk posisi Asst. SPV, SPV, dan Manager Outlet baru; 2) Menstandarkan kompetensi teknis &amp; soft skill operasional outlet; 3) Meningkatkan retensi karyawan berkualitas melalui jenjang karir yang jelas.</t>
  </si>
  <si>
    <t xml:space="preserve">Program Duration</t>
  </si>
  <si>
    <t xml:space="preserve">12 Bulan (1 Bulan In Class Training, 6 Bulan OJT, 2 Bulan Rotasi, 1 Bulan Comprehension, sisanya proses rekrutmen)</t>
  </si>
  <si>
    <t xml:space="preserve">Unit</t>
  </si>
  <si>
    <t xml:space="preserve">Sub Unit</t>
  </si>
  <si>
    <t xml:space="preserve">Materi Pembelajaran</t>
  </si>
  <si>
    <t xml:space="preserve">Topik Materi</t>
  </si>
  <si>
    <t xml:space="preserve">Trainer</t>
  </si>
  <si>
    <t xml:space="preserve">Metode Training</t>
  </si>
  <si>
    <t xml:space="preserve">Est. Budget (Rp)</t>
  </si>
  <si>
    <t xml:space="preserve">Company Profile, Visi-Misi, Struktur Organisasi</t>
  </si>
  <si>
    <t xml:space="preserve">Tim HR Generalist</t>
  </si>
  <si>
    <t xml:space="preserve">480 Menit</t>
  </si>
  <si>
    <t xml:space="preserve">Lecturing &amp; Discussion</t>
  </si>
  <si>
    <t xml:space="preserve">Peraturan Perusahaan, PKB, Hak &amp; Kewajiban Karyawan</t>
  </si>
  <si>
    <t xml:space="preserve">K3 &amp; Higiene Dapur (Dasar HACCP)</t>
  </si>
  <si>
    <t xml:space="preserve">Sistem HRIS, Absensi &amp; Penggajian</t>
  </si>
  <si>
    <t xml:space="preserve">In Class Training</t>
  </si>
  <si>
    <t xml:space="preserve">Sejarah &amp; Filosofi Produk Mie Pedas dan Dimsum</t>
  </si>
  <si>
    <t xml:space="preserve">Tim Operasional / Marketing</t>
  </si>
  <si>
    <t xml:space="preserve">240 Menit</t>
  </si>
  <si>
    <t xml:space="preserve">Lecturing &amp; Tasting Session</t>
  </si>
  <si>
    <t xml:space="preserve">Varian Menu, Resep Standar &amp; Plating</t>
  </si>
  <si>
    <t xml:space="preserve">Tim Operasional</t>
  </si>
  <si>
    <t xml:space="preserve">SOP Quality Control &amp; Food Safety</t>
  </si>
  <si>
    <t xml:space="preserve">SOP Kasir &amp; Sistem POS</t>
  </si>
  <si>
    <t xml:space="preserve">Demo, Praktik &amp; Simulasi</t>
  </si>
  <si>
    <t xml:space="preserve">SOP Kitchen Flow (Mise en Place s.d. Plating)</t>
  </si>
  <si>
    <t xml:space="preserve">SOP Service &amp; Standar Penyajian</t>
  </si>
  <si>
    <t xml:space="preserve">Inventory &amp; Stock Management (FIFO/FEFO)</t>
  </si>
  <si>
    <t xml:space="preserve">Cash Handling &amp; Daily Sales Report</t>
  </si>
  <si>
    <t xml:space="preserve">Manager Finance</t>
  </si>
  <si>
    <t xml:space="preserve">360 Menit</t>
  </si>
  <si>
    <t xml:space="preserve">Lecturing &amp; Studi Kasus</t>
  </si>
  <si>
    <t xml:space="preserve">Food Cost &amp; COGS Control</t>
  </si>
  <si>
    <t xml:space="preserve">*Manager Outlet: P&amp;L Outlet, Forecasting, Vendor Management</t>
  </si>
  <si>
    <t xml:space="preserve">Manager Finance &amp; Operasional</t>
  </si>
  <si>
    <t xml:space="preserve">+180 Menit</t>
  </si>
  <si>
    <t xml:space="preserve">Leadership Role as a Leader &amp; Delegasi Tugas</t>
  </si>
  <si>
    <t xml:space="preserve">Manager HR / Trainer Eksternal</t>
  </si>
  <si>
    <t xml:space="preserve">Workshop &amp; Role Play</t>
  </si>
  <si>
    <t xml:space="preserve">*Manager Outlet: Performance &amp; Conflict Management</t>
  </si>
  <si>
    <t xml:space="preserve">Trainer Eksternal</t>
  </si>
  <si>
    <t xml:space="preserve">+120 Menit</t>
  </si>
  <si>
    <t xml:space="preserve">Customer Service Excellence &amp; Complaint Handling</t>
  </si>
  <si>
    <t xml:space="preserve">Manager Marketing</t>
  </si>
  <si>
    <t xml:space="preserve">180 Menit</t>
  </si>
  <si>
    <t xml:space="preserve">Role Play &amp; Simulasi</t>
  </si>
  <si>
    <t xml:space="preserve">Studi Kasus Operasional Outlet</t>
  </si>
  <si>
    <t xml:space="preserve">Studi Kasus &amp; Diskusi Kelompok</t>
  </si>
  <si>
    <t xml:space="preserve">On the Job Training</t>
  </si>
  <si>
    <t xml:space="preserve">Cashier &amp; Kitchen Production Simulation</t>
  </si>
  <si>
    <t xml:space="preserve">Praktik langsung di Outlet Margonda/Sawangan didampingi SPV</t>
  </si>
  <si>
    <t xml:space="preserve">SPV Outlet (Mentor)</t>
  </si>
  <si>
    <t xml:space="preserve">Hands-on, Mentoring</t>
  </si>
  <si>
    <t xml:space="preserve">Financial Management Practice</t>
  </si>
  <si>
    <t xml:space="preserve">Penyusunan Laporan Harian/Mingguan &amp; Food Cost Outlet</t>
  </si>
  <si>
    <t xml:space="preserve">SPV Outlet &amp; Manager Finance</t>
  </si>
  <si>
    <t xml:space="preserve">Hands-on, Coaching</t>
  </si>
  <si>
    <t xml:space="preserve">Leadership &amp; Problem Solving Practice</t>
  </si>
  <si>
    <t xml:space="preserve">Memimpin shift, koordinasi tim, problem solving lapangan</t>
  </si>
  <si>
    <t xml:space="preserve">Manager Operasional (Mentor)</t>
  </si>
  <si>
    <t xml:space="preserve">Mentoring, Job Rotation</t>
  </si>
  <si>
    <t xml:space="preserve">Rotasi Outlet</t>
  </si>
  <si>
    <t xml:space="preserve">Praktik Mandiri</t>
  </si>
  <si>
    <t xml:space="preserve">Rotasi ke outlet kedua untuk memperluas exposure operasional</t>
  </si>
  <si>
    <t xml:space="preserve">Job Rotation</t>
  </si>
  <si>
    <t xml:space="preserve">Final Project &amp; Final Exam</t>
  </si>
  <si>
    <t xml:space="preserve">Presentasi Proyek Improvement Outlet &amp; Ujian Tertulis/Studi Kasus</t>
  </si>
  <si>
    <t xml:space="preserve">Tim Manajemen &amp; HR</t>
  </si>
  <si>
    <t xml:space="preserve">Presentasi &amp; Ujian Tertulis</t>
  </si>
  <si>
    <t xml:space="preserve">BUDGET PROGRAM MANAGEMENT TRAINEE (MT) - 5 Peserta</t>
  </si>
  <si>
    <t xml:space="preserve">Rekap</t>
  </si>
  <si>
    <t xml:space="preserve">Jumlah (Rp)</t>
  </si>
  <si>
    <t xml:space="preserve">MT Facilities Budget</t>
  </si>
  <si>
    <t xml:space="preserve">Akomodasi, konsumsi, transport, modul, seragam, graduation</t>
  </si>
  <si>
    <t xml:space="preserve">MT In Class Budget</t>
  </si>
  <si>
    <t xml:space="preserve">Fee trainer &amp; sewa peralatan training</t>
  </si>
  <si>
    <t xml:space="preserve">MT OJT Budget</t>
  </si>
  <si>
    <t xml:space="preserve">Mentor allowance, seragam OJT, transport rotasi</t>
  </si>
  <si>
    <t xml:space="preserve">MT Comprehension Budget</t>
  </si>
  <si>
    <t xml:space="preserve">Sewa tempat, fee juri, plakat &amp; sertifikat</t>
  </si>
  <si>
    <t xml:space="preserve">TOTAL BUDGET PROGRAM MT</t>
  </si>
  <si>
    <t xml:space="preserve">MT FACILITIES BUDGET</t>
  </si>
  <si>
    <t xml:space="preserve">Item</t>
  </si>
  <si>
    <t xml:space="preserve">Qty</t>
  </si>
  <si>
    <t xml:space="preserve">Jumlah Pax</t>
  </si>
  <si>
    <t xml:space="preserve">Harga/Pax (Rp)</t>
  </si>
  <si>
    <t xml:space="preserve">Subtotal (Rp)</t>
  </si>
  <si>
    <t xml:space="preserve">Sewa Venue Training (Ruang Meeting/Aula)</t>
  </si>
  <si>
    <t xml:space="preserve">5 hari</t>
  </si>
  <si>
    <t xml:space="preserve">Disewa per hari training in class</t>
  </si>
  <si>
    <t xml:space="preserve">Akomodasi Peserta (Hotel/Wisma)</t>
  </si>
  <si>
    <t xml:space="preserve">4 malam</t>
  </si>
  <si>
    <t xml:space="preserve">Untuk peserta dari luar kota</t>
  </si>
  <si>
    <t xml:space="preserve">Konsumsi Training (Makan + Snack)</t>
  </si>
  <si>
    <t xml:space="preserve">Per pax per hari (3x makan + 2x snack)</t>
  </si>
  <si>
    <t xml:space="preserve">Transportasi Peserta (PP)</t>
  </si>
  <si>
    <t xml:space="preserve">1x</t>
  </si>
  <si>
    <t xml:space="preserve">Reimbursement transport ke lokasi training</t>
  </si>
  <si>
    <t xml:space="preserve">Modul &amp; ATK Training</t>
  </si>
  <si>
    <t xml:space="preserve">1 set</t>
  </si>
  <si>
    <t xml:space="preserve">Hand-out materi, alat tulis</t>
  </si>
  <si>
    <t xml:space="preserve">Seragam &amp; Atribut MT (Pin/Name Tag)</t>
  </si>
  <si>
    <t xml:space="preserve">Identitas khusus peserta MT</t>
  </si>
  <si>
    <t xml:space="preserve">Acara Graduation &amp; Sertifikat Kelulusan MT</t>
  </si>
  <si>
    <t xml:space="preserve">Sertifikat, plakat, dokumentasi</t>
  </si>
  <si>
    <t xml:space="preserve">Total</t>
  </si>
  <si>
    <t xml:space="preserve">MT IN CLASS BUDGET</t>
  </si>
  <si>
    <t xml:space="preserve">Harga/Sesi (Rp)</t>
  </si>
  <si>
    <t xml:space="preserve">Fee Trainer Internal (Tim HR/Operasional/Finance)</t>
  </si>
  <si>
    <t xml:space="preserve">6 sesi</t>
  </si>
  <si>
    <t xml:space="preserve">Onboarding, Product Knowledge, Basic Operation, dst</t>
  </si>
  <si>
    <t xml:space="preserve">Fee Trainer Eksternal (Leadership Workshop)</t>
  </si>
  <si>
    <t xml:space="preserve">1 sesi</t>
  </si>
  <si>
    <t xml:space="preserve">Khusus materi Leadership</t>
  </si>
  <si>
    <t xml:space="preserve">Sewa Proyektor &amp; Sound System</t>
  </si>
  <si>
    <t xml:space="preserve">Untuk seluruh sesi in class training</t>
  </si>
  <si>
    <t xml:space="preserve">Printing Modul &amp; Sertifikat Sesi</t>
  </si>
  <si>
    <t xml:space="preserve">5 pax</t>
  </si>
  <si>
    <t xml:space="preserve">Cetak materi &amp; handout</t>
  </si>
  <si>
    <t xml:space="preserve">MT OJT BUDGET</t>
  </si>
  <si>
    <t xml:space="preserve">Mentor Allowance (SPV/Manager Pendamping)</t>
  </si>
  <si>
    <t xml:space="preserve">6 bulan</t>
  </si>
  <si>
    <t xml:space="preserve">Tunjangan tambahan untuk mentor per peserta per bulan</t>
  </si>
  <si>
    <t xml:space="preserve">Seragam Kerja OJT</t>
  </si>
  <si>
    <t xml:space="preserve">Seragam operasional untuk OJT di outlet</t>
  </si>
  <si>
    <t xml:space="preserve">Transportasi Rotasi Outlet</t>
  </si>
  <si>
    <t xml:space="preserve">4x</t>
  </si>
  <si>
    <t xml:space="preserve">Biaya transport saat rotasi ke outlet kedua</t>
  </si>
  <si>
    <t xml:space="preserve">MT COMPREHENSION BUDGET</t>
  </si>
  <si>
    <t xml:space="preserve">Harga/Unit (Rp)</t>
  </si>
  <si>
    <t xml:space="preserve">Sewa Tempat Presentasi Final</t>
  </si>
  <si>
    <t xml:space="preserve">Ruang presentasi final project</t>
  </si>
  <si>
    <t xml:space="preserve">Fee Juri/Panelis (Direktur, Manager Operasional, Manager HR)</t>
  </si>
  <si>
    <t xml:space="preserve">3 orang</t>
  </si>
  <si>
    <t xml:space="preserve">Honor panelis penilai final exam</t>
  </si>
  <si>
    <t xml:space="preserve">Plakat &amp; Sertifikat Kelulusan MT</t>
  </si>
  <si>
    <t xml:space="preserve">Penghargaan kelulusan program MT</t>
  </si>
  <si>
    <t xml:space="preserve">PERFORMANCE EVALUATION &amp; PERFORMANCE APPRAISAL (PEPA) - PROGRAM MT</t>
  </si>
  <si>
    <t xml:space="preserve">A. REKAP NILAI AKHIR PESERTA MT</t>
  </si>
  <si>
    <t xml:space="preserve">NIK</t>
  </si>
  <si>
    <t xml:space="preserve">Nama Peserta</t>
  </si>
  <si>
    <t xml:space="preserve">Onboarding
(5%)</t>
  </si>
  <si>
    <t xml:space="preserve">Product
Knowledge
(10%)</t>
  </si>
  <si>
    <t xml:space="preserve">Financial
Mgmt
(15%)</t>
  </si>
  <si>
    <t xml:space="preserve">Soft Skill
In Class
(10%)</t>
  </si>
  <si>
    <t xml:space="preserve">OJT
Technical
(30%)</t>
  </si>
  <si>
    <t xml:space="preserve">OJT
Soft Skill
(15%)</t>
  </si>
  <si>
    <t xml:space="preserve">Presentasi
(10%)</t>
  </si>
  <si>
    <t xml:space="preserve">Final Exam
(5%)</t>
  </si>
  <si>
    <t xml:space="preserve">Final
Score</t>
  </si>
  <si>
    <t xml:space="preserve">MT-001</t>
  </si>
  <si>
    <t xml:space="preserve">Peserta MT 1</t>
  </si>
  <si>
    <t xml:space="preserve">MT-002</t>
  </si>
  <si>
    <t xml:space="preserve">Peserta MT 2</t>
  </si>
  <si>
    <t xml:space="preserve">MT-003</t>
  </si>
  <si>
    <t xml:space="preserve">Peserta MT 3</t>
  </si>
  <si>
    <t xml:space="preserve">MT-004</t>
  </si>
  <si>
    <t xml:space="preserve">Peserta MT 4</t>
  </si>
  <si>
    <t xml:space="preserve">MT-005</t>
  </si>
  <si>
    <t xml:space="preserve">Peserta MT 5</t>
  </si>
  <si>
    <t xml:space="preserve">Final Score</t>
  </si>
  <si>
    <t xml:space="preserve">Klasifikasi</t>
  </si>
  <si>
    <t xml:space="preserve">Rekomendasi Penempatan</t>
  </si>
  <si>
    <t xml:space="preserve">Standar Klasifikasi: A (&gt;=85) -&gt; Manager Outlet | B (75-84.9) -&gt; Supervisor Outlet | C (65-74.9) -&gt; Asisten Supervisor | D (&lt;65) -&gt; Tidak Lolos, kembali sebagai Crew Outlet</t>
  </si>
  <si>
    <t xml:space="preserve">B. FORM PENILAIAN ON THE JOB TRAINING (OJT) - PER PESERTA</t>
  </si>
  <si>
    <t xml:space="preserve">Nama Karyawan</t>
  </si>
  <si>
    <t xml:space="preserve">:</t>
  </si>
  <si>
    <t xml:space="preserve">......................................</t>
  </si>
  <si>
    <t xml:space="preserve">Jabatan Saat Ini / Target</t>
  </si>
  <si>
    <t xml:space="preserve">Periode Penilaian</t>
  </si>
  <si>
    <t xml:space="preserve">Aspek Penilaian</t>
  </si>
  <si>
    <t xml:space="preserve">Indikator</t>
  </si>
  <si>
    <t xml:space="preserve">Catatan</t>
  </si>
  <si>
    <t xml:space="preserve">Technical Skill - Cashier/Kitchen</t>
  </si>
  <si>
    <t xml:space="preserve">Mampu menjalankan SOP kasir/dapur sesuai standar</t>
  </si>
  <si>
    <t xml:space="preserve">Mampu menyelesaikan transaksi/produksi dengan akurat &amp; cepat</t>
  </si>
  <si>
    <t xml:space="preserve">Mampu menyusun laporan harian/mingguan dengan benar</t>
  </si>
  <si>
    <t xml:space="preserve">Mampu mengontrol food cost &amp; cash sesuai target</t>
  </si>
  <si>
    <t xml:space="preserve">Mampu memimpin shift dan mendelegasikan tugas</t>
  </si>
  <si>
    <t xml:space="preserve">Mampu melakukan coaching ke anggota tim</t>
  </si>
  <si>
    <t xml:space="preserve">Mampu menyelesaikan masalah operasional sesuai SOP</t>
  </si>
  <si>
    <t xml:space="preserve">Mampu mengambil keputusan cepat saat kondisi tidak normal</t>
  </si>
  <si>
    <t xml:space="preserve">Sikap &amp; Inisiatif</t>
  </si>
  <si>
    <t xml:space="preserve">Disiplin, proaktif, dan kolaboratif dengan tim</t>
  </si>
  <si>
    <t xml:space="preserve">Total Skor</t>
  </si>
  <si>
    <t xml:space="preserve">Skala: 1 = Sangat Kurang, 2 = Kurang, 3 = Cukup, 4 = Baik, 5 = Sangat Baik. Isi nilai pada kolom 1-5 sesuai pencapaian peserta.</t>
  </si>
  <si>
    <t xml:space="preserve">SILABUS ONBOARDING - CREW OUTLET &amp; STAFF HO BARU PT MIE PEDAS RAYA</t>
  </si>
  <si>
    <t xml:space="preserve">Sasaran</t>
  </si>
  <si>
    <t xml:space="preserve">Crew Kitchen, Crew Service (Kasir/Waiters), dan Staff HO baru (untuk outlet Margonda/Sawangan maupun outlet ekspansi baru)</t>
  </si>
  <si>
    <t xml:space="preserve">Program pembekalan awal bagi karyawan baru selama masa probation 3 bulan, terdiri dari In Class Training (2 hari) dan On the Job Training (selama probation) dengan pendampingan mentor.</t>
  </si>
  <si>
    <t xml:space="preserve">2 Hari In Class Training + 3 Bulan OJT/Masa Probation</t>
  </si>
  <si>
    <t xml:space="preserve">Topik</t>
  </si>
  <si>
    <t xml:space="preserve">Semua Posisi</t>
  </si>
  <si>
    <t xml:space="preserve">In Class - Onboarding</t>
  </si>
  <si>
    <t xml:space="preserve">Company Profile, Visi-Misi, Struktur Organisasi PT Mie Pedas Raya</t>
  </si>
  <si>
    <t xml:space="preserve">Staff HR</t>
  </si>
  <si>
    <t xml:space="preserve">120 Menit</t>
  </si>
  <si>
    <t xml:space="preserve">Lecturing &amp; Diskusi</t>
  </si>
  <si>
    <t xml:space="preserve">Peraturan Perusahaan, Hak &amp; Kewajiban, K3 dan Higiene Dapur</t>
  </si>
  <si>
    <t xml:space="preserve">Lecturing</t>
  </si>
  <si>
    <t xml:space="preserve">Seragam, Grooming, dan Sistem HRIS/Absensi</t>
  </si>
  <si>
    <t xml:space="preserve">60 Menit</t>
  </si>
  <si>
    <t xml:space="preserve">Demo &amp; Praktik</t>
  </si>
  <si>
    <t xml:space="preserve">In Class - Product Knowledge</t>
  </si>
  <si>
    <t xml:space="preserve">Menu, Bahan Baku, dan SOP Standar Rasa &amp; Penyajian</t>
  </si>
  <si>
    <t xml:space="preserve">Crew Kitchen</t>
  </si>
  <si>
    <t xml:space="preserve">In Class - Technical Skill</t>
  </si>
  <si>
    <t xml:space="preserve">Basic Operation Dapur</t>
  </si>
  <si>
    <t xml:space="preserve">SOP Memasak, Food Safety/HACCP, Kebersihan &amp; Penyimpanan Bahan</t>
  </si>
  <si>
    <t xml:space="preserve">Demo &amp; Praktik Langsung</t>
  </si>
  <si>
    <t xml:space="preserve">Crew Service (Kasir/Waiters)</t>
  </si>
  <si>
    <t xml:space="preserve">Basic Operation Service</t>
  </si>
  <si>
    <t xml:space="preserve">SOP Kasir &amp; Sistem POS, Service Excellence, Tata Cara Penyajian</t>
  </si>
  <si>
    <t xml:space="preserve">Staff HO (Finance/Lainnya)</t>
  </si>
  <si>
    <t xml:space="preserve">Basic Operation HO</t>
  </si>
  <si>
    <t xml:space="preserve">SOP Pencatatan Keuangan, Laporan Harian, dan Sistem Akuntansi yang digunakan</t>
  </si>
  <si>
    <t xml:space="preserve">Lecturing &amp; Praktik Sistem</t>
  </si>
  <si>
    <t xml:space="preserve">In Class - Soft Skill</t>
  </si>
  <si>
    <t xml:space="preserve">Komunikasi &amp; Teamwork</t>
  </si>
  <si>
    <t xml:space="preserve">Komunikasi Efektif, Kerja Sama Tim, Problem Solving Dasar</t>
  </si>
  <si>
    <t xml:space="preserve">Role Play &amp; Diskusi</t>
  </si>
  <si>
    <t xml:space="preserve">OJT - Bulan 1</t>
  </si>
  <si>
    <t xml:space="preserve">Pendampingan Mentor (Buddy System)</t>
  </si>
  <si>
    <t xml:space="preserve">Praktik langsung sesuai job desc didampingi mentor (Senior Crew/SPV)</t>
  </si>
  <si>
    <t xml:space="preserve">Mentor (SPV/Senior Crew)</t>
  </si>
  <si>
    <t xml:space="preserve">Mentoring &amp; Hands-on</t>
  </si>
  <si>
    <t xml:space="preserve">Simulasi Mingguan</t>
  </si>
  <si>
    <t xml:space="preserve">Cashier/Kitchen Production Simulation mingguan + evaluasi mentor</t>
  </si>
  <si>
    <t xml:space="preserve">Mentor / SPV Outlet</t>
  </si>
  <si>
    <t xml:space="preserve">Mingguan</t>
  </si>
  <si>
    <t xml:space="preserve">Simulation &amp; Coaching</t>
  </si>
  <si>
    <t xml:space="preserve">OJT - Bulan 2</t>
  </si>
  <si>
    <t xml:space="preserve">Praktik Mandiri dengan Supervisi</t>
  </si>
  <si>
    <t xml:space="preserve">Pelaksanaan tugas mandiri dengan supervisi berkala dari mentor</t>
  </si>
  <si>
    <t xml:space="preserve">Hands-on &amp; Supervisi</t>
  </si>
  <si>
    <t xml:space="preserve">OJT - Bulan 3</t>
  </si>
  <si>
    <t xml:space="preserve">Praktik Penuh &amp; Evaluasi Akhir</t>
  </si>
  <si>
    <t xml:space="preserve">Pelaksanaan tugas penuh + evaluasi akhir probation</t>
  </si>
  <si>
    <t xml:space="preserve">SPV Outlet / Manager Operasional</t>
  </si>
  <si>
    <t xml:space="preserve">Hands-on &amp; Final Assessment</t>
  </si>
  <si>
    <t xml:space="preserve">Keputusan Status Karyawan</t>
  </si>
  <si>
    <t xml:space="preserve">Evaluasi akhir bulan ke-3 untuk menentukan status (tetap/perpanjang/tidak lanjut)</t>
  </si>
  <si>
    <t xml:space="preserve">Manager Operasional &amp; HR</t>
  </si>
  <si>
    <t xml:space="preserve">1 Hari</t>
  </si>
  <si>
    <t xml:space="preserve">Wawancara &amp; Review Form Penilaian</t>
  </si>
  <si>
    <t xml:space="preserve">PERFORMANCE EVALUATION &amp; PERFORMANCE APPRAISAL (PEPA) - EVALUASI PROBATION 3 BULAN</t>
  </si>
  <si>
    <t xml:space="preserve">Jabatan</t>
  </si>
  <si>
    <t xml:space="preserve">Outlet/Unit</t>
  </si>
  <si>
    <t xml:space="preserve">Tanggal Mulai Kerja</t>
  </si>
  <si>
    <t xml:space="preserve">Mentor/Atasan</t>
  </si>
  <si>
    <t xml:space="preserve">A. ASPEK PENILAIAN (Diisi setiap akhir bulan oleh Mentor/SPV)</t>
  </si>
  <si>
    <t xml:space="preserve">Bulan 1 (1-5)</t>
  </si>
  <si>
    <t xml:space="preserve">Bulan 2 (1-5)</t>
  </si>
  <si>
    <t xml:space="preserve">Bulan 3 (1-5)</t>
  </si>
  <si>
    <t xml:space="preserve">Kehadiran &amp; Kedisiplinan</t>
  </si>
  <si>
    <t xml:space="preserve">Tepat waktu, jarang absen tanpa keterangan, mematuhi jadwal shift</t>
  </si>
  <si>
    <t xml:space="preserve">Technical Skill</t>
  </si>
  <si>
    <t xml:space="preserve">Penguasaan SOP &amp; job desc sesuai posisi (kasir/dapur/finance, dll)</t>
  </si>
  <si>
    <t xml:space="preserve">Kualitas Kerja</t>
  </si>
  <si>
    <t xml:space="preserve">Akurasi, kerapihan, dan kepatuhan terhadap standar perusahaan</t>
  </si>
  <si>
    <t xml:space="preserve">Soft Skill - Komunikasi &amp; Teamwork</t>
  </si>
  <si>
    <t xml:space="preserve">Mampu berkomunikasi &amp; bekerja sama dengan tim secara efektif</t>
  </si>
  <si>
    <t xml:space="preserve">Inisiatif &amp; Problem Solving</t>
  </si>
  <si>
    <t xml:space="preserve">Proaktif menyelesaikan masalah &amp; memberikan ide perbaikan</t>
  </si>
  <si>
    <t xml:space="preserve">Sikap Kerja / Attitude</t>
  </si>
  <si>
    <t xml:space="preserve">Sopan, jujur, bertanggung jawab, dan sesuai budaya perusahaan</t>
  </si>
  <si>
    <t xml:space="preserve">Total Skor (Max 30)</t>
  </si>
  <si>
    <t xml:space="preserve">B. REKOMENDASI PER PERIODE</t>
  </si>
  <si>
    <t xml:space="preserve">Periode</t>
  </si>
  <si>
    <t xml:space="preserve">Rekomendasi</t>
  </si>
  <si>
    <t xml:space="preserve">Bulan 1</t>
  </si>
  <si>
    <t xml:space="preserve">Bulan 2</t>
  </si>
  <si>
    <t xml:space="preserve">Bulan 3 (Final)</t>
  </si>
  <si>
    <t xml:space="preserve">Skala nilai per indikator: 1 = Sangat Kurang, 2 = Kurang, 3 = Cukup, 4 = Baik, 5 = Sangat Baik. Total skor maksimal per bulan = 30 (6 aspek x 5).</t>
  </si>
  <si>
    <t xml:space="preserve">Catatan Tambahan / Rekomendasi Pengembangan:</t>
  </si>
  <si>
    <t xml:space="preserve">TIMELINE / GANTT CHART ONBOARDING
Masa Probation 3 Bulan (12 Minggu) - Karyawan Tetap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</si>
  <si>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</si>
  <si>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</si>
  <si>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</si>
  <si>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</si>
  <si>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</si>
  <si>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</si>
  <si>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</si>
  <si>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</si>
  <si>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</si>
  <si>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</si>
  <si>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</si>
  <si>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</si>
  <si>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Onboarding &amp; In Class Training (2 hari)</t>
  </si>
  <si>
    <t xml:space="preserve">3 Hari</t>
  </si>
  <si>
    <t xml:space="preserve">OJT Bulan 1 - Pendampingan Mentor (Buddy System)</t>
  </si>
  <si>
    <t xml:space="preserve">4 Minggu</t>
  </si>
  <si>
    <t xml:space="preserve">Evaluasi Bulan 1</t>
  </si>
  <si>
    <t xml:space="preserve">OJT Bulan 2 - Praktik Mandiri dengan Supervisi</t>
  </si>
  <si>
    <t xml:space="preserve">Evaluasi Bulan 2</t>
  </si>
  <si>
    <t xml:space="preserve">OJT Bulan 3 - Praktik Penuh</t>
  </si>
  <si>
    <t xml:space="preserve">Evaluasi Akhir &amp; Keputusan Status Karyawan</t>
  </si>
  <si>
    <t xml:space="preserve">Catatan: Bar berwarna menunjukkan minggu pelaksanaan kegiatan. Evaluasi bulanan menjadi dasar keputusan kelanjutan status karyawan di akhir bulan ke-3.</t>
  </si>
  <si>
    <t xml:space="preserve">FLOW PROGRAM ONBOARDING - CREW OUTLET &amp; STAFF HO BARU PT MIE PEDAS RAYA</t>
  </si>
  <si>
    <t xml:space="preserve">Karyawan Baru Diterima
(Crew Outlet / Staff HO)</t>
  </si>
  <si>
    <t xml:space="preserve">IN CLASS TRAINING
(Hari 1-2): Onboarding,
Product Knowledge,
Technical &amp; Soft Skill
sesuai posisi</t>
  </si>
  <si>
    <t xml:space="preserve">OJT BULAN 1
Pendampingan Mentor
(Buddy System)</t>
  </si>
  <si>
    <t xml:space="preserve">Kurang</t>
  </si>
  <si>
    <t xml:space="preserve">EVALUASI BULAN 1
(Form PEPA - 6 Aspek)</t>
  </si>
  <si>
    <t xml:space="preserve">Cukup/Baik</t>
  </si>
  <si>
    <t xml:space="preserve">Skor &lt; 18 (Kurang)
-&gt; Pendampingan Tambahan
&amp; Coaching Intensif
oleh Mentor</t>
  </si>
  <si>
    <t xml:space="preserve">Skor &gt;= 18
-&gt; Lanjut OJT Bulan 2</t>
  </si>
  <si>
    <t xml:space="preserve">OJT BULAN 2
Praktik Mandiri
dengan Supervisi</t>
  </si>
  <si>
    <t xml:space="preserve">EVALUASI BULAN 2
(Form PEPA - 6 Aspek)</t>
  </si>
  <si>
    <t xml:space="preserve">Skor &lt; 18 (Kurang)
-&gt; Pendampingan Tambahan,
Warning/SP1 sesuai
kebijakan HR</t>
  </si>
  <si>
    <t xml:space="preserve">Skor &gt;= 18
-&gt; Lanjut OJT Bulan 3
(Praktik Penuh)</t>
  </si>
  <si>
    <t xml:space="preserve">OJT BULAN 3
Praktik Penuh
(Tanpa Pendampingan Penuh)</t>
  </si>
  <si>
    <t xml:space="preserve">&lt;- Baik</t>
  </si>
  <si>
    <t xml:space="preserve">Kurang -&gt;</t>
  </si>
  <si>
    <t xml:space="preserve">Skor &gt;= 24 (Baik)
-&gt; DIANGKAT MENJADI
KARYAWAN TETAP
(Lanjut PKWT/Tetap +
Masuk pool kandidat MT
jika berprestasi)</t>
  </si>
  <si>
    <t xml:space="preserve">Skor 18-23 (Cukup)
-&gt; PERPANJANG MASA
PROBATION 1 BULAN
+ Coaching Tambahan,
Evaluasi Ulang</t>
  </si>
  <si>
    <t xml:space="preserve">Skor &lt; 18 (Kurang)
-&gt; KONTRAK TIDAK
DIPERPANJANG /
TIDAK DILANJUTKAN
(sesuai ketentuan
masa probation)</t>
  </si>
  <si>
    <t xml:space="preserve">Titik Evaluasi</t>
  </si>
  <si>
    <t xml:space="preserve">Hasil Baik/Lolos</t>
  </si>
  <si>
    <t xml:space="preserve">Hasil Kurang/Tidak Lolos</t>
  </si>
  <si>
    <t xml:space="preserve">BUDGET ONBOARDING
(Asumsi 1 Batch = 10 Crew Outlet Baru + 1 Staff HO untuk Pembukaan Outlet Ekspansi)</t>
  </si>
  <si>
    <t xml:space="preserve">Konsumsi In Class Training (2 hari)</t>
  </si>
  <si>
    <t xml:space="preserve">2 hari</t>
  </si>
  <si>
    <t xml:space="preserve">Makan siang + snack selama in class training</t>
  </si>
  <si>
    <t xml:space="preserve">Modul &amp; ATK Onboarding</t>
  </si>
  <si>
    <t xml:space="preserve">Hand-out materi &amp; alat tulis</t>
  </si>
  <si>
    <t xml:space="preserve">Seragam Kerja Baru</t>
  </si>
  <si>
    <t xml:space="preserve">Seragam standar Crew/Staff baru</t>
  </si>
  <si>
    <t xml:space="preserve">Atribut Khusus Dapur/APD (Crew Kitchen)</t>
  </si>
  <si>
    <t xml:space="preserve">Apron, sarung tangan, hairnet, sepatu anti-slip</t>
  </si>
  <si>
    <t xml:space="preserve">ID Card &amp; Atribut Karyawan</t>
  </si>
  <si>
    <t xml:space="preserve">ID card, name tag</t>
  </si>
  <si>
    <t xml:space="preserve">Fee Trainer Internal (HR, SPV, Manager Finance)</t>
  </si>
  <si>
    <t xml:space="preserve">4 sesi</t>
  </si>
  <si>
    <t xml:space="preserve">In class training 2 hari</t>
  </si>
  <si>
    <t xml:space="preserve">Mentor Allowance OJT (3 bulan)</t>
  </si>
  <si>
    <t xml:space="preserve">3 bulan</t>
  </si>
  <si>
    <t xml:space="preserve">Tunjangan tambahan mentor per peserta per bulan</t>
  </si>
  <si>
    <t xml:space="preserve">TOTAL BUDGET ONBOARDING (per Batch)</t>
  </si>
  <si>
    <t xml:space="preserve">Catatan: Biaya bersifat estimasi dan dapat disesuaikan dengan jumlah karyawan baru sesuai kebutuhan pembukaan outlet (lihat Manpower Planning).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</si>
</sst>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name val="Cambria"/>
      <family val="0"/>
      <charset val="1"/>
    </font>
    <font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E699"/>
        <bgColor rgb="FFFFF2CC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E699"/>
      </patternFill>
    </fill>
    <fill>
      <patternFill patternType="solid">
        <fgColor rgb="FF4472C4"/>
        <bgColor rgb="FF666699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3399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0"/>
    <col collapsed="false" customWidth="true" hidden="false" outlineLevel="0" max="4" min="3" style="1" width="20"/>
  </cols>
  <sheetData>
    <row r="1" customFormat="false" ht="39.75" hidden="false" customHeight="true" outlineLevel="0" collapsed="false">
      <c r="A1" s="2" t="s">
        <v>0</v>
      </c>
      <c r="B1" s="2"/>
      <c r="C1" s="2"/>
      <c r="D1" s="2"/>
    </row>
    <row r="3" customFormat="false" ht="23.25" hidden="false" customHeight="true" outlineLevel="0" collapsed="false">
      <c r="A3" s="3"/>
      <c r="B3" s="3" t="s">
        <v>1</v>
      </c>
      <c r="C3" s="3" t="s">
        <v>2</v>
      </c>
    </row>
    <row r="4" customFormat="false" ht="102" hidden="false" customHeight="true" outlineLevel="0" collapsed="false">
      <c r="A4" s="3"/>
      <c r="B4" s="3" t="s">
        <v>3</v>
      </c>
      <c r="C4" s="3" t="s">
        <v>4</v>
      </c>
    </row>
    <row r="6" customFormat="false" ht="15" hidden="false" customHeight="true" outlineLevel="0" collapsed="false">
      <c r="A6" s="4" t="s">
        <v>5</v>
      </c>
      <c r="B6" s="4"/>
      <c r="C6" s="4"/>
      <c r="D6" s="4"/>
    </row>
    <row r="7" customFormat="false" ht="15" hidden="false" customHeight="true" outlineLevel="0" collapsed="false">
      <c r="A7" s="3"/>
      <c r="B7" s="3" t="s">
        <v>6</v>
      </c>
    </row>
    <row r="8" customFormat="false" ht="15" hidden="false" customHeight="true" outlineLevel="0" collapsed="false">
      <c r="A8" s="3"/>
      <c r="B8" s="3" t="s">
        <v>7</v>
      </c>
    </row>
    <row r="9" customFormat="false" ht="15" hidden="false" customHeight="true" outlineLevel="0" collapsed="false">
      <c r="A9" s="3"/>
      <c r="B9" s="3" t="s">
        <v>8</v>
      </c>
    </row>
    <row r="10" customFormat="false" ht="15" hidden="false" customHeight="true" outlineLevel="0" collapsed="false">
      <c r="A10" s="3"/>
      <c r="B10" s="3" t="s">
        <v>9</v>
      </c>
    </row>
    <row r="11" customFormat="false" ht="15" hidden="false" customHeight="true" outlineLevel="0" collapsed="false">
      <c r="A11" s="3"/>
      <c r="B11" s="3" t="s">
        <v>10</v>
      </c>
    </row>
    <row r="13" customFormat="false" ht="15" hidden="false" customHeight="true" outlineLevel="0" collapsed="false">
      <c r="A13" s="4" t="s">
        <v>11</v>
      </c>
      <c r="B13" s="4"/>
      <c r="C13" s="4"/>
      <c r="D13" s="4"/>
    </row>
    <row r="14" customFormat="false" ht="15" hidden="false" customHeight="true" outlineLevel="0" collapsed="false">
      <c r="A14" s="3"/>
      <c r="B14" s="3" t="s">
        <v>12</v>
      </c>
    </row>
    <row r="15" customFormat="false" ht="15" hidden="false" customHeight="true" outlineLevel="0" collapsed="false">
      <c r="A15" s="3"/>
      <c r="B15" s="3" t="s">
        <v>13</v>
      </c>
    </row>
    <row r="16" customFormat="false" ht="15" hidden="false" customHeight="true" outlineLevel="0" collapsed="false">
      <c r="A16" s="3"/>
      <c r="B16" s="3" t="s">
        <v>14</v>
      </c>
    </row>
    <row r="17" customFormat="false" ht="15" hidden="false" customHeight="true" outlineLevel="0" collapsed="false">
      <c r="A17" s="3"/>
      <c r="B17" s="3" t="s">
        <v>15</v>
      </c>
    </row>
    <row r="20" customFormat="false" ht="15" hidden="false" customHeight="true" outlineLevel="0" collapsed="false">
      <c r="A20" s="4" t="s">
        <v>16</v>
      </c>
      <c r="B20" s="4"/>
      <c r="C20" s="4"/>
      <c r="D20" s="4"/>
    </row>
    <row r="21" customFormat="false" ht="23.25" hidden="false" customHeight="true" outlineLevel="0" collapsed="false">
      <c r="B21" s="5" t="s">
        <v>17</v>
      </c>
      <c r="C21" s="5" t="s">
        <v>18</v>
      </c>
      <c r="D21" s="5" t="s">
        <v>19</v>
      </c>
      <c r="E21" s="5" t="s">
        <v>20</v>
      </c>
    </row>
    <row r="22" customFormat="false" ht="57" hidden="false" customHeight="true" outlineLevel="0" collapsed="false">
      <c r="A22" s="3"/>
      <c r="B22" s="3" t="s">
        <v>21</v>
      </c>
      <c r="C22" s="3" t="s">
        <v>22</v>
      </c>
      <c r="D22" s="3" t="n">
        <v>2</v>
      </c>
      <c r="E22" s="3" t="s">
        <v>23</v>
      </c>
    </row>
    <row r="23" customFormat="false" ht="57" hidden="false" customHeight="true" outlineLevel="0" collapsed="false">
      <c r="A23" s="3"/>
      <c r="B23" s="3" t="s">
        <v>21</v>
      </c>
      <c r="C23" s="3" t="s">
        <v>24</v>
      </c>
      <c r="D23" s="3" t="n">
        <v>2</v>
      </c>
      <c r="E23" s="3" t="s">
        <v>23</v>
      </c>
    </row>
    <row r="24" customFormat="false" ht="147" hidden="false" customHeight="true" outlineLevel="0" collapsed="false">
      <c r="A24" s="3"/>
      <c r="B24" s="3" t="s">
        <v>21</v>
      </c>
      <c r="C24" s="3" t="s">
        <v>25</v>
      </c>
      <c r="D24" s="3" t="n">
        <v>1</v>
      </c>
      <c r="E24" s="3" t="s">
        <v>26</v>
      </c>
    </row>
    <row r="25" customFormat="false" ht="15" hidden="false" customHeight="true" outlineLevel="0" collapsed="false">
      <c r="A25" s="6"/>
      <c r="B25" s="6" t="s">
        <v>27</v>
      </c>
      <c r="C25" s="6"/>
      <c r="D25" s="6" t="n">
        <v>5</v>
      </c>
      <c r="E25" s="6"/>
    </row>
  </sheetData>
  <mergeCells count="4">
    <mergeCell ref="A1:D1"/>
    <mergeCell ref="A6:D6"/>
    <mergeCell ref="A13:D13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30"/>
    <col collapsed="false" customWidth="true" hidden="false" outlineLevel="0" max="6" min="5" style="1" width="55"/>
  </cols>
  <sheetData>
    <row r="1" customFormat="false" ht="36" hidden="false" customHeight="true" outlineLevel="0" collapsed="false">
      <c r="A1" s="2" t="s">
        <v>28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</row>
    <row r="3" customFormat="false" ht="60" hidden="false" customHeight="true" outlineLevel="0" collapsed="false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</row>
    <row r="4" customFormat="false" ht="60" hidden="false" customHeight="true" outlineLevel="0" collapsed="false">
      <c r="A4" s="3" t="s">
        <v>41</v>
      </c>
      <c r="B4" s="3" t="s">
        <v>36</v>
      </c>
      <c r="C4" s="3" t="s">
        <v>42</v>
      </c>
      <c r="D4" s="3" t="s">
        <v>43</v>
      </c>
      <c r="E4" s="3" t="s">
        <v>44</v>
      </c>
      <c r="F4" s="3" t="s">
        <v>45</v>
      </c>
    </row>
    <row r="5" customFormat="false" ht="60" hidden="false" customHeight="true" outlineLevel="0" collapsed="false">
      <c r="A5" s="3" t="s">
        <v>46</v>
      </c>
      <c r="B5" s="3" t="s">
        <v>36</v>
      </c>
      <c r="C5" s="3" t="s">
        <v>47</v>
      </c>
      <c r="D5" s="3" t="s">
        <v>48</v>
      </c>
      <c r="E5" s="3" t="s">
        <v>49</v>
      </c>
      <c r="F5" s="3" t="s">
        <v>40</v>
      </c>
    </row>
    <row r="6" customFormat="false" ht="60" hidden="false" customHeight="true" outlineLevel="0" collapsed="false">
      <c r="A6" s="3" t="s">
        <v>50</v>
      </c>
      <c r="B6" s="3" t="s">
        <v>36</v>
      </c>
      <c r="C6" s="3" t="s">
        <v>47</v>
      </c>
      <c r="D6" s="3" t="s">
        <v>51</v>
      </c>
      <c r="E6" s="3" t="s">
        <v>52</v>
      </c>
      <c r="F6" s="3" t="s">
        <v>53</v>
      </c>
    </row>
    <row r="7" customFormat="false" ht="60" hidden="false" customHeight="true" outlineLevel="0" collapsed="false">
      <c r="A7" s="3" t="s">
        <v>54</v>
      </c>
      <c r="B7" s="3" t="s">
        <v>36</v>
      </c>
      <c r="C7" s="3" t="s">
        <v>55</v>
      </c>
      <c r="D7" s="3" t="s">
        <v>56</v>
      </c>
      <c r="E7" s="3" t="s">
        <v>57</v>
      </c>
      <c r="F7" s="3" t="s">
        <v>58</v>
      </c>
    </row>
    <row r="8" customFormat="false" ht="60" hidden="false" customHeight="true" outlineLevel="0" collapsed="false">
      <c r="A8" s="3" t="s">
        <v>59</v>
      </c>
      <c r="B8" s="3" t="s">
        <v>36</v>
      </c>
      <c r="C8" s="3" t="s">
        <v>55</v>
      </c>
      <c r="D8" s="3" t="s">
        <v>60</v>
      </c>
      <c r="E8" s="3" t="s">
        <v>61</v>
      </c>
      <c r="F8" s="3" t="s">
        <v>40</v>
      </c>
    </row>
    <row r="9" customFormat="false" ht="60" hidden="false" customHeight="true" outlineLevel="0" collapsed="false">
      <c r="A9" s="3" t="s">
        <v>62</v>
      </c>
      <c r="B9" s="3" t="s">
        <v>36</v>
      </c>
      <c r="C9" s="3" t="s">
        <v>55</v>
      </c>
      <c r="D9" s="3" t="s">
        <v>63</v>
      </c>
      <c r="E9" s="3" t="s">
        <v>64</v>
      </c>
      <c r="F9" s="3" t="s">
        <v>65</v>
      </c>
    </row>
    <row r="10" customFormat="false" ht="60" hidden="false" customHeight="true" outlineLevel="0" collapsed="false">
      <c r="A10" s="3" t="s">
        <v>66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</row>
    <row r="11" customFormat="false" ht="60" hidden="false" customHeight="true" outlineLevel="0" collapsed="false">
      <c r="A11" s="3" t="s">
        <v>72</v>
      </c>
      <c r="B11" s="3" t="s">
        <v>67</v>
      </c>
      <c r="C11" s="3" t="s">
        <v>73</v>
      </c>
      <c r="D11" s="3" t="s">
        <v>74</v>
      </c>
      <c r="E11" s="3" t="s">
        <v>75</v>
      </c>
      <c r="F11" s="3" t="s">
        <v>40</v>
      </c>
    </row>
    <row r="12" customFormat="false" ht="60" hidden="false" customHeight="true" outlineLevel="0" collapsed="false">
      <c r="A12" s="3" t="s">
        <v>76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40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4"/>
  </cols>
  <sheetData>
    <row r="1" customFormat="false" ht="24" hidden="false" customHeight="true" outlineLevel="0" collapsed="false">
      <c r="A1" s="2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36" hidden="false" customHeight="true" outlineLevel="0" collapsed="false">
      <c r="E3" s="7" t="s">
        <v>82</v>
      </c>
      <c r="F3" s="7"/>
      <c r="G3" s="7"/>
      <c r="H3" s="7"/>
    </row>
    <row r="4" customFormat="false" ht="36" hidden="false" customHeight="true" outlineLevel="0" collapsed="false">
      <c r="F4" s="8" t="s">
        <v>83</v>
      </c>
    </row>
    <row r="5" customFormat="false" ht="36" hidden="false" customHeight="true" outlineLevel="0" collapsed="false">
      <c r="E5" s="7" t="s">
        <v>84</v>
      </c>
      <c r="F5" s="7"/>
      <c r="G5" s="7"/>
      <c r="H5" s="7"/>
    </row>
    <row r="6" customFormat="false" ht="36" hidden="false" customHeight="true" outlineLevel="0" collapsed="false">
      <c r="F6" s="8" t="s">
        <v>83</v>
      </c>
    </row>
    <row r="7" customFormat="false" ht="36" hidden="false" customHeight="true" outlineLevel="0" collapsed="false">
      <c r="E7" s="7" t="s">
        <v>85</v>
      </c>
      <c r="F7" s="7"/>
      <c r="G7" s="7"/>
      <c r="H7" s="7"/>
    </row>
    <row r="8" customFormat="false" ht="36" hidden="false" customHeight="true" outlineLevel="0" collapsed="false">
      <c r="F8" s="8" t="s">
        <v>83</v>
      </c>
    </row>
    <row r="9" customFormat="false" ht="36" hidden="false" customHeight="true" outlineLevel="0" collapsed="false">
      <c r="E9" s="7" t="s">
        <v>86</v>
      </c>
      <c r="F9" s="7"/>
      <c r="G9" s="7"/>
      <c r="H9" s="7"/>
    </row>
    <row r="10" customFormat="false" ht="36" hidden="false" customHeight="true" outlineLevel="0" collapsed="false">
      <c r="F10" s="8" t="s">
        <v>83</v>
      </c>
    </row>
    <row r="11" customFormat="false" ht="36" hidden="false" customHeight="true" outlineLevel="0" collapsed="false">
      <c r="E11" s="9" t="s">
        <v>87</v>
      </c>
      <c r="F11" s="9"/>
      <c r="G11" s="9"/>
      <c r="H11" s="9"/>
    </row>
    <row r="12" customFormat="false" ht="36" hidden="false" customHeight="true" outlineLevel="0" collapsed="false">
      <c r="F12" s="8" t="s">
        <v>83</v>
      </c>
    </row>
    <row r="13" customFormat="false" ht="36" hidden="false" customHeight="true" outlineLevel="0" collapsed="false">
      <c r="D13" s="10" t="s">
        <v>88</v>
      </c>
      <c r="E13" s="11" t="s">
        <v>89</v>
      </c>
      <c r="F13" s="11"/>
      <c r="G13" s="11"/>
      <c r="H13" s="11"/>
      <c r="I13" s="10" t="s">
        <v>90</v>
      </c>
    </row>
    <row r="14" customFormat="false" ht="36" hidden="false" customHeight="true" outlineLevel="0" collapsed="false">
      <c r="E14" s="11"/>
      <c r="F14" s="11"/>
      <c r="G14" s="11"/>
      <c r="H14" s="11"/>
    </row>
    <row r="15" customFormat="false" ht="36" hidden="false" customHeight="true" outlineLevel="0" collapsed="false">
      <c r="F15" s="8" t="s">
        <v>83</v>
      </c>
    </row>
    <row r="16" customFormat="false" ht="36" hidden="false" customHeight="true" outlineLevel="0" collapsed="false">
      <c r="A16" s="12" t="s">
        <v>91</v>
      </c>
      <c r="B16" s="12"/>
      <c r="C16" s="12"/>
      <c r="E16" s="13" t="s">
        <v>92</v>
      </c>
      <c r="F16" s="13"/>
      <c r="G16" s="13"/>
      <c r="H16" s="13"/>
    </row>
    <row r="17" customFormat="false" ht="36" hidden="false" customHeight="true" outlineLevel="0" collapsed="false">
      <c r="F17" s="8" t="s">
        <v>83</v>
      </c>
    </row>
    <row r="18" customFormat="false" ht="36" hidden="false" customHeight="true" outlineLevel="0" collapsed="false">
      <c r="E18" s="9" t="s">
        <v>93</v>
      </c>
      <c r="F18" s="9"/>
      <c r="G18" s="9"/>
      <c r="H18" s="9"/>
    </row>
    <row r="19" customFormat="false" ht="36" hidden="false" customHeight="true" outlineLevel="0" collapsed="false">
      <c r="F19" s="8" t="s">
        <v>83</v>
      </c>
    </row>
    <row r="20" customFormat="false" ht="36" hidden="false" customHeight="true" outlineLevel="0" collapsed="false">
      <c r="E20" s="11" t="s">
        <v>94</v>
      </c>
      <c r="F20" s="11"/>
      <c r="G20" s="11"/>
      <c r="H20" s="11"/>
    </row>
    <row r="21" customFormat="false" ht="36" hidden="false" customHeight="true" outlineLevel="0" collapsed="false">
      <c r="F21" s="8" t="s">
        <v>83</v>
      </c>
    </row>
    <row r="22" customFormat="false" ht="36" hidden="false" customHeight="true" outlineLevel="0" collapsed="false">
      <c r="E22" s="9" t="s">
        <v>95</v>
      </c>
      <c r="F22" s="9"/>
      <c r="G22" s="9"/>
      <c r="H22" s="9"/>
    </row>
    <row r="23" customFormat="false" ht="36" hidden="false" customHeight="true" outlineLevel="0" collapsed="false">
      <c r="F23" s="8" t="s">
        <v>83</v>
      </c>
    </row>
    <row r="24" customFormat="false" ht="36" hidden="false" customHeight="true" outlineLevel="0" collapsed="false">
      <c r="E24" s="11" t="s">
        <v>96</v>
      </c>
      <c r="F24" s="11"/>
      <c r="G24" s="11"/>
      <c r="H24" s="11"/>
    </row>
    <row r="25" customFormat="false" ht="36" hidden="false" customHeight="true" outlineLevel="0" collapsed="false">
      <c r="E25" s="11"/>
      <c r="F25" s="11"/>
      <c r="G25" s="11"/>
      <c r="H25" s="11"/>
    </row>
    <row r="26" customFormat="false" ht="36" hidden="false" customHeight="true" outlineLevel="0" collapsed="false">
      <c r="F26" s="8" t="s">
        <v>83</v>
      </c>
    </row>
    <row r="27" customFormat="false" ht="36" hidden="false" customHeight="true" outlineLevel="0" collapsed="false">
      <c r="E27" s="11" t="s">
        <v>97</v>
      </c>
      <c r="F27" s="11"/>
      <c r="G27" s="11"/>
      <c r="H27" s="11"/>
    </row>
    <row r="28" customFormat="false" ht="36" hidden="false" customHeight="true" outlineLevel="0" collapsed="false">
      <c r="E28" s="11"/>
      <c r="F28" s="11"/>
      <c r="G28" s="11"/>
      <c r="H28" s="11"/>
    </row>
    <row r="29" customFormat="false" ht="36" hidden="false" customHeight="true" outlineLevel="0" collapsed="false">
      <c r="F29" s="8" t="s">
        <v>83</v>
      </c>
    </row>
    <row r="30" customFormat="false" ht="36" hidden="false" customHeight="true" outlineLevel="0" collapsed="false">
      <c r="F30" s="14" t="s">
        <v>98</v>
      </c>
      <c r="H30" s="15" t="s">
        <v>99</v>
      </c>
      <c r="I30" s="13" t="s">
        <v>100</v>
      </c>
      <c r="J30" s="13"/>
      <c r="K30" s="13"/>
      <c r="L30" s="13"/>
    </row>
    <row r="31" customFormat="false" ht="36" hidden="false" customHeight="true" outlineLevel="0" collapsed="false">
      <c r="I31" s="13" t="s">
        <v>101</v>
      </c>
      <c r="J31" s="13"/>
      <c r="K31" s="13"/>
      <c r="L31" s="13"/>
    </row>
    <row r="32" customFormat="false" ht="36" hidden="false" customHeight="true" outlineLevel="0" collapsed="false">
      <c r="I32" s="13" t="s">
        <v>102</v>
      </c>
      <c r="J32" s="13"/>
      <c r="K32" s="13"/>
      <c r="L32" s="13"/>
    </row>
    <row r="33" customFormat="false" ht="36" hidden="false" customHeight="true" outlineLevel="0" collapsed="false">
      <c r="A33" s="12" t="s">
        <v>103</v>
      </c>
      <c r="B33" s="12"/>
      <c r="C33" s="12"/>
      <c r="D33" s="12"/>
    </row>
    <row r="34" customFormat="false" ht="36" hidden="false" customHeight="true" outlineLevel="0" collapsed="false"/>
    <row r="35" customFormat="false" ht="36" hidden="false" customHeight="true" outlineLevel="0" collapsed="false"/>
    <row r="36" customFormat="false" ht="36" hidden="false" customHeight="true" outlineLevel="0" collapsed="false">
      <c r="A36" s="16" t="s">
        <v>104</v>
      </c>
      <c r="B36" s="16"/>
      <c r="D36" s="17" t="s">
        <v>105</v>
      </c>
      <c r="E36" s="17"/>
      <c r="G36" s="18" t="s">
        <v>106</v>
      </c>
      <c r="H36" s="18"/>
      <c r="J36" s="19" t="s">
        <v>107</v>
      </c>
      <c r="K36" s="19"/>
      <c r="M36" s="20" t="s">
        <v>108</v>
      </c>
      <c r="N36" s="20"/>
    </row>
    <row r="37" customFormat="false" ht="36" hidden="false" customHeight="true" outlineLevel="0" collapsed="false"/>
  </sheetData>
  <mergeCells count="23">
    <mergeCell ref="A1:N1"/>
    <mergeCell ref="E3:H3"/>
    <mergeCell ref="E5:H5"/>
    <mergeCell ref="E7:H7"/>
    <mergeCell ref="E9:H9"/>
    <mergeCell ref="E11:H11"/>
    <mergeCell ref="E13:H14"/>
    <mergeCell ref="A16:C16"/>
    <mergeCell ref="E16:H16"/>
    <mergeCell ref="E18:H18"/>
    <mergeCell ref="E20:H20"/>
    <mergeCell ref="E22:H22"/>
    <mergeCell ref="E24:H25"/>
    <mergeCell ref="E27:H28"/>
    <mergeCell ref="I30:L30"/>
    <mergeCell ref="I31:L31"/>
    <mergeCell ref="I32:L32"/>
    <mergeCell ref="A33:D33"/>
    <mergeCell ref="A36:B36"/>
    <mergeCell ref="D36:E36"/>
    <mergeCell ref="G36:H36"/>
    <mergeCell ref="J36:K36"/>
    <mergeCell ref="M36:N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5" min="4" style="1" width="10"/>
    <col collapsed="false" customWidth="true" hidden="false" outlineLevel="0" max="17" min="6" style="1" width="6"/>
  </cols>
  <sheetData>
    <row r="1" customFormat="false" ht="36" hidden="false" customHeight="true" outlineLevel="0" collapsed="false">
      <c r="A1" s="2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true" outlineLevel="0" collapsed="false">
      <c r="A2" s="5" t="s">
        <v>29</v>
      </c>
      <c r="B2" s="5" t="s">
        <v>110</v>
      </c>
      <c r="C2" s="5" t="s">
        <v>111</v>
      </c>
      <c r="D2" s="5" t="s">
        <v>112</v>
      </c>
      <c r="E2" s="5" t="s">
        <v>113</v>
      </c>
      <c r="F2" s="5" t="s">
        <v>114</v>
      </c>
      <c r="G2" s="5" t="s">
        <v>115</v>
      </c>
      <c r="H2" s="5" t="s">
        <v>116</v>
      </c>
      <c r="I2" s="5" t="s">
        <v>117</v>
      </c>
      <c r="J2" s="5" t="s">
        <v>118</v>
      </c>
      <c r="K2" s="5" t="s">
        <v>119</v>
      </c>
      <c r="L2" s="5" t="s">
        <v>120</v>
      </c>
      <c r="M2" s="5" t="s">
        <v>121</v>
      </c>
      <c r="N2" s="5" t="s">
        <v>122</v>
      </c>
      <c r="O2" s="5" t="s">
        <v>123</v>
      </c>
      <c r="P2" s="5" t="s">
        <v>124</v>
      </c>
      <c r="Q2" s="5" t="s">
        <v>125</v>
      </c>
    </row>
    <row r="3" customFormat="false" ht="31.5" hidden="false" customHeight="true" outlineLevel="0" collapsed="false">
      <c r="A3" s="3" t="s">
        <v>35</v>
      </c>
      <c r="B3" s="3" t="s">
        <v>126</v>
      </c>
      <c r="C3" s="3" t="s">
        <v>127</v>
      </c>
      <c r="D3" s="3" t="s">
        <v>128</v>
      </c>
      <c r="E3" s="3" t="s">
        <v>129</v>
      </c>
      <c r="F3" s="2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31.5" hidden="false" customHeight="true" outlineLevel="0" collapsed="false">
      <c r="A4" s="3" t="s">
        <v>41</v>
      </c>
      <c r="B4" s="3" t="s">
        <v>130</v>
      </c>
      <c r="C4" s="3" t="s">
        <v>127</v>
      </c>
      <c r="D4" s="3" t="s">
        <v>131</v>
      </c>
      <c r="E4" s="3" t="s">
        <v>129</v>
      </c>
      <c r="F4" s="23"/>
      <c r="G4" s="23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31.5" hidden="false" customHeight="true" outlineLevel="0" collapsed="false">
      <c r="A5" s="3" t="s">
        <v>46</v>
      </c>
      <c r="B5" s="3" t="s">
        <v>132</v>
      </c>
      <c r="C5" s="3" t="s">
        <v>127</v>
      </c>
      <c r="D5" s="3" t="s">
        <v>128</v>
      </c>
      <c r="E5" s="3" t="s">
        <v>129</v>
      </c>
      <c r="F5" s="22"/>
      <c r="G5" s="24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31.5" hidden="false" customHeight="true" outlineLevel="0" collapsed="false">
      <c r="A6" s="3" t="s">
        <v>50</v>
      </c>
      <c r="B6" s="3" t="s">
        <v>133</v>
      </c>
      <c r="C6" s="3" t="s">
        <v>127</v>
      </c>
      <c r="D6" s="3" t="s">
        <v>128</v>
      </c>
      <c r="E6" s="3" t="s">
        <v>129</v>
      </c>
      <c r="F6" s="22"/>
      <c r="G6" s="21"/>
      <c r="H6" s="21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31.5" hidden="false" customHeight="true" outlineLevel="0" collapsed="false">
      <c r="A7" s="3" t="s">
        <v>54</v>
      </c>
      <c r="B7" s="3" t="s">
        <v>134</v>
      </c>
      <c r="C7" s="3" t="s">
        <v>135</v>
      </c>
      <c r="D7" s="3" t="s">
        <v>128</v>
      </c>
      <c r="E7" s="3" t="s">
        <v>129</v>
      </c>
      <c r="F7" s="22"/>
      <c r="G7" s="22"/>
      <c r="H7" s="23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31.5" hidden="false" customHeight="true" outlineLevel="0" collapsed="false">
      <c r="A8" s="3" t="s">
        <v>59</v>
      </c>
      <c r="B8" s="3" t="s">
        <v>136</v>
      </c>
      <c r="C8" s="3" t="s">
        <v>127</v>
      </c>
      <c r="D8" s="3" t="s">
        <v>128</v>
      </c>
      <c r="E8" s="3" t="s">
        <v>129</v>
      </c>
      <c r="F8" s="22"/>
      <c r="G8" s="22"/>
      <c r="H8" s="24"/>
      <c r="I8" s="24"/>
      <c r="J8" s="22"/>
      <c r="K8" s="22"/>
      <c r="L8" s="22"/>
      <c r="M8" s="22"/>
      <c r="N8" s="22"/>
      <c r="O8" s="22"/>
      <c r="P8" s="22"/>
      <c r="Q8" s="22"/>
    </row>
    <row r="9" customFormat="false" ht="31.5" hidden="false" customHeight="true" outlineLevel="0" collapsed="false">
      <c r="A9" s="3" t="s">
        <v>62</v>
      </c>
      <c r="B9" s="3" t="s">
        <v>137</v>
      </c>
      <c r="C9" s="3" t="s">
        <v>138</v>
      </c>
      <c r="D9" s="3" t="s">
        <v>139</v>
      </c>
      <c r="E9" s="3" t="s">
        <v>129</v>
      </c>
      <c r="F9" s="22"/>
      <c r="G9" s="22"/>
      <c r="H9" s="22"/>
      <c r="I9" s="21"/>
      <c r="J9" s="22"/>
      <c r="K9" s="22"/>
      <c r="L9" s="22"/>
      <c r="M9" s="22"/>
      <c r="N9" s="22"/>
      <c r="O9" s="22"/>
      <c r="P9" s="22"/>
      <c r="Q9" s="22"/>
    </row>
    <row r="10" customFormat="false" ht="31.5" hidden="false" customHeight="true" outlineLevel="0" collapsed="false">
      <c r="A10" s="3" t="s">
        <v>66</v>
      </c>
      <c r="B10" s="3" t="s">
        <v>140</v>
      </c>
      <c r="C10" s="3" t="s">
        <v>141</v>
      </c>
      <c r="D10" s="3" t="s">
        <v>142</v>
      </c>
      <c r="E10" s="3" t="s">
        <v>129</v>
      </c>
      <c r="F10" s="22"/>
      <c r="G10" s="22"/>
      <c r="H10" s="22"/>
      <c r="I10" s="22"/>
      <c r="J10" s="23"/>
      <c r="K10" s="23"/>
      <c r="L10" s="22"/>
      <c r="M10" s="22"/>
      <c r="N10" s="22"/>
      <c r="O10" s="22"/>
      <c r="P10" s="22"/>
      <c r="Q10" s="22"/>
    </row>
    <row r="11" customFormat="false" ht="31.5" hidden="false" customHeight="true" outlineLevel="0" collapsed="false">
      <c r="A11" s="3" t="s">
        <v>72</v>
      </c>
      <c r="B11" s="3" t="s">
        <v>143</v>
      </c>
      <c r="C11" s="3" t="s">
        <v>144</v>
      </c>
      <c r="D11" s="3" t="s">
        <v>142</v>
      </c>
      <c r="E11" s="3" t="s">
        <v>129</v>
      </c>
      <c r="F11" s="22"/>
      <c r="G11" s="22"/>
      <c r="H11" s="22"/>
      <c r="I11" s="22"/>
      <c r="J11" s="22"/>
      <c r="K11" s="22"/>
      <c r="L11" s="24"/>
      <c r="M11" s="24"/>
      <c r="N11" s="22"/>
      <c r="O11" s="22"/>
      <c r="P11" s="22"/>
      <c r="Q11" s="22"/>
    </row>
    <row r="12" customFormat="false" ht="31.5" hidden="false" customHeight="true" outlineLevel="0" collapsed="false">
      <c r="A12" s="3" t="s">
        <v>76</v>
      </c>
      <c r="B12" s="3" t="s">
        <v>145</v>
      </c>
      <c r="C12" s="3" t="s">
        <v>144</v>
      </c>
      <c r="D12" s="3" t="s">
        <v>142</v>
      </c>
      <c r="E12" s="3" t="s">
        <v>129</v>
      </c>
      <c r="F12" s="22"/>
      <c r="G12" s="22"/>
      <c r="H12" s="22"/>
      <c r="I12" s="22"/>
      <c r="J12" s="22"/>
      <c r="K12" s="22"/>
      <c r="L12" s="22"/>
      <c r="M12" s="22"/>
      <c r="N12" s="21"/>
      <c r="O12" s="21"/>
      <c r="P12" s="22"/>
      <c r="Q12" s="22"/>
    </row>
    <row r="13" customFormat="false" ht="31.5" hidden="false" customHeight="true" outlineLevel="0" collapsed="false">
      <c r="A13" s="3" t="s">
        <v>146</v>
      </c>
      <c r="B13" s="3" t="s">
        <v>147</v>
      </c>
      <c r="C13" s="3" t="s">
        <v>148</v>
      </c>
      <c r="D13" s="3" t="s">
        <v>149</v>
      </c>
      <c r="E13" s="3" t="s">
        <v>129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22"/>
    </row>
    <row r="14" customFormat="false" ht="31.5" hidden="false" customHeight="true" outlineLevel="0" collapsed="false">
      <c r="A14" s="3" t="s">
        <v>150</v>
      </c>
      <c r="B14" s="3" t="s">
        <v>151</v>
      </c>
      <c r="C14" s="3" t="s">
        <v>152</v>
      </c>
      <c r="D14" s="3" t="s">
        <v>153</v>
      </c>
      <c r="E14" s="3" t="s">
        <v>129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4"/>
      <c r="Q14" s="22"/>
    </row>
    <row r="15" customFormat="false" ht="31.5" hidden="false" customHeight="true" outlineLevel="0" collapsed="false">
      <c r="A15" s="3" t="s">
        <v>154</v>
      </c>
      <c r="B15" s="3" t="s">
        <v>155</v>
      </c>
      <c r="C15" s="3" t="s">
        <v>144</v>
      </c>
      <c r="D15" s="3" t="s">
        <v>139</v>
      </c>
      <c r="E15" s="3" t="s">
        <v>129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1"/>
    </row>
    <row r="17" customFormat="false" ht="32.25" hidden="false" customHeight="true" outlineLevel="0" collapsed="false">
      <c r="A17" s="3"/>
      <c r="B17" s="25" t="s">
        <v>156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60"/>
  </cols>
  <sheetData>
    <row r="1" customFormat="false" ht="24" hidden="false" customHeight="true" outlineLevel="0" collapsed="false">
      <c r="A1" s="2" t="s">
        <v>81</v>
      </c>
      <c r="B1" s="2"/>
      <c r="C1" s="2"/>
    </row>
    <row r="3" customFormat="false" ht="15" hidden="false" customHeight="true" outlineLevel="0" collapsed="false">
      <c r="B3" s="5" t="s">
        <v>29</v>
      </c>
      <c r="C3" s="5" t="s">
        <v>157</v>
      </c>
    </row>
    <row r="4" customFormat="false" ht="48" hidden="false" customHeight="true" outlineLevel="0" collapsed="false">
      <c r="B4" s="26" t="s">
        <v>35</v>
      </c>
      <c r="C4" s="3" t="s">
        <v>158</v>
      </c>
    </row>
    <row r="5" customFormat="false" ht="48" hidden="false" customHeight="true" outlineLevel="0" collapsed="false">
      <c r="B5" s="26" t="s">
        <v>41</v>
      </c>
      <c r="C5" s="3" t="s">
        <v>159</v>
      </c>
    </row>
    <row r="6" customFormat="false" ht="48" hidden="false" customHeight="true" outlineLevel="0" collapsed="false">
      <c r="B6" s="26" t="s">
        <v>46</v>
      </c>
      <c r="C6" s="3" t="s">
        <v>160</v>
      </c>
    </row>
    <row r="7" customFormat="false" ht="48" hidden="false" customHeight="true" outlineLevel="0" collapsed="false">
      <c r="B7" s="26" t="s">
        <v>50</v>
      </c>
      <c r="C7" s="3" t="s">
        <v>161</v>
      </c>
    </row>
    <row r="8" customFormat="false" ht="48" hidden="false" customHeight="true" outlineLevel="0" collapsed="false">
      <c r="B8" s="26" t="s">
        <v>162</v>
      </c>
      <c r="C8" s="3" t="s">
        <v>163</v>
      </c>
    </row>
    <row r="9" customFormat="false" ht="48" hidden="false" customHeight="true" outlineLevel="0" collapsed="false">
      <c r="B9" s="26" t="s">
        <v>164</v>
      </c>
      <c r="C9" s="3" t="s">
        <v>165</v>
      </c>
    </row>
    <row r="10" customFormat="false" ht="48" hidden="false" customHeight="true" outlineLevel="0" collapsed="false">
      <c r="B10" s="26" t="s">
        <v>166</v>
      </c>
      <c r="C10" s="3" t="s">
        <v>167</v>
      </c>
    </row>
    <row r="11" customFormat="false" ht="48" hidden="false" customHeight="true" outlineLevel="0" collapsed="false">
      <c r="B11" s="26" t="s">
        <v>168</v>
      </c>
      <c r="C11" s="3" t="s">
        <v>169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50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6"/>
  </cols>
  <sheetData>
    <row r="1" customFormat="false" ht="24" hidden="false" customHeight="true" outlineLevel="0" collapsed="false">
      <c r="A1" s="2" t="s">
        <v>170</v>
      </c>
      <c r="B1" s="2"/>
      <c r="C1" s="2"/>
      <c r="D1" s="2"/>
      <c r="E1" s="2"/>
      <c r="F1" s="2"/>
      <c r="G1" s="2"/>
      <c r="H1" s="2"/>
      <c r="I1" s="2"/>
    </row>
    <row r="2" customFormat="false" ht="68.25" hidden="false" customHeight="true" outlineLevel="0" collapsed="false">
      <c r="A2" s="3"/>
      <c r="B2" s="3" t="s">
        <v>171</v>
      </c>
      <c r="C2" s="3" t="s">
        <v>172</v>
      </c>
    </row>
    <row r="3" customFormat="false" ht="180" hidden="false" customHeight="true" outlineLevel="0" collapsed="false">
      <c r="A3" s="3"/>
      <c r="B3" s="3" t="s">
        <v>173</v>
      </c>
      <c r="C3" s="3" t="s">
        <v>174</v>
      </c>
    </row>
    <row r="4" customFormat="false" ht="168.75" hidden="false" customHeight="true" outlineLevel="0" collapsed="false">
      <c r="A4" s="3"/>
      <c r="B4" s="3" t="s">
        <v>175</v>
      </c>
      <c r="C4" s="3" t="s">
        <v>176</v>
      </c>
    </row>
    <row r="5" customFormat="false" ht="90.75" hidden="false" customHeight="true" outlineLevel="0" collapsed="false">
      <c r="A5" s="3"/>
      <c r="B5" s="3" t="s">
        <v>177</v>
      </c>
      <c r="C5" s="3" t="s">
        <v>178</v>
      </c>
    </row>
    <row r="7" customFormat="false" ht="15" hidden="false" customHeight="true" outlineLevel="0" collapsed="false">
      <c r="A7" s="5" t="s">
        <v>29</v>
      </c>
      <c r="B7" s="5" t="s">
        <v>179</v>
      </c>
      <c r="C7" s="5" t="s">
        <v>180</v>
      </c>
      <c r="D7" s="5" t="s">
        <v>181</v>
      </c>
      <c r="E7" s="5" t="s">
        <v>182</v>
      </c>
      <c r="F7" s="5" t="s">
        <v>183</v>
      </c>
      <c r="G7" s="5" t="s">
        <v>112</v>
      </c>
      <c r="H7" s="5" t="s">
        <v>184</v>
      </c>
      <c r="I7" s="5" t="s">
        <v>185</v>
      </c>
    </row>
    <row r="8" customFormat="false" ht="30" hidden="false" customHeight="true" outlineLevel="0" collapsed="false">
      <c r="A8" s="3" t="s">
        <v>35</v>
      </c>
      <c r="B8" s="3"/>
      <c r="C8" s="3" t="s">
        <v>37</v>
      </c>
      <c r="D8" s="3" t="s">
        <v>38</v>
      </c>
      <c r="E8" s="3" t="s">
        <v>186</v>
      </c>
      <c r="F8" s="3" t="s">
        <v>187</v>
      </c>
      <c r="G8" s="3" t="s">
        <v>188</v>
      </c>
      <c r="H8" s="3" t="s">
        <v>189</v>
      </c>
      <c r="I8" s="27" t="n">
        <f aca="false">'4. Budget MT'!F7</f>
        <v>16855000</v>
      </c>
    </row>
    <row r="9" customFormat="false" ht="30" hidden="false" customHeight="true" outlineLevel="0" collapsed="false">
      <c r="A9" s="3"/>
      <c r="B9" s="3"/>
      <c r="C9" s="3"/>
      <c r="D9" s="3"/>
      <c r="E9" s="3" t="s">
        <v>190</v>
      </c>
      <c r="F9" s="3" t="s">
        <v>187</v>
      </c>
      <c r="G9" s="3" t="s">
        <v>40</v>
      </c>
      <c r="H9" s="3" t="s">
        <v>40</v>
      </c>
      <c r="I9" s="3"/>
    </row>
    <row r="10" customFormat="false" ht="30" hidden="false" customHeight="true" outlineLevel="0" collapsed="false">
      <c r="A10" s="3"/>
      <c r="B10" s="3"/>
      <c r="C10" s="3"/>
      <c r="D10" s="3"/>
      <c r="E10" s="3" t="s">
        <v>191</v>
      </c>
      <c r="F10" s="3" t="s">
        <v>187</v>
      </c>
      <c r="G10" s="3" t="s">
        <v>40</v>
      </c>
      <c r="H10" s="3" t="s">
        <v>40</v>
      </c>
      <c r="I10" s="3"/>
    </row>
    <row r="11" customFormat="false" ht="30" hidden="false" customHeight="true" outlineLevel="0" collapsed="false">
      <c r="A11" s="3"/>
      <c r="B11" s="3"/>
      <c r="C11" s="3"/>
      <c r="D11" s="3"/>
      <c r="E11" s="3" t="s">
        <v>192</v>
      </c>
      <c r="F11" s="3" t="s">
        <v>187</v>
      </c>
      <c r="G11" s="3" t="s">
        <v>40</v>
      </c>
      <c r="H11" s="3" t="s">
        <v>40</v>
      </c>
      <c r="I11" s="3"/>
    </row>
    <row r="12" customFormat="false" ht="30" hidden="false" customHeight="true" outlineLevel="0" collapsed="false">
      <c r="A12" s="3" t="s">
        <v>41</v>
      </c>
      <c r="B12" s="3" t="s">
        <v>193</v>
      </c>
      <c r="C12" s="3" t="s">
        <v>42</v>
      </c>
      <c r="D12" s="3" t="s">
        <v>43</v>
      </c>
      <c r="E12" s="3" t="s">
        <v>194</v>
      </c>
      <c r="F12" s="3" t="s">
        <v>195</v>
      </c>
      <c r="G12" s="3" t="s">
        <v>196</v>
      </c>
      <c r="H12" s="3" t="s">
        <v>197</v>
      </c>
      <c r="I12" s="3"/>
    </row>
    <row r="13" customFormat="false" ht="30" hidden="false" customHeight="true" outlineLevel="0" collapsed="false">
      <c r="A13" s="3"/>
      <c r="B13" s="3"/>
      <c r="C13" s="3"/>
      <c r="D13" s="3"/>
      <c r="E13" s="3" t="s">
        <v>198</v>
      </c>
      <c r="F13" s="3" t="s">
        <v>199</v>
      </c>
      <c r="G13" s="3" t="s">
        <v>40</v>
      </c>
      <c r="H13" s="3" t="s">
        <v>40</v>
      </c>
      <c r="I13" s="3"/>
    </row>
    <row r="14" customFormat="false" ht="30" hidden="false" customHeight="true" outlineLevel="0" collapsed="false">
      <c r="A14" s="3"/>
      <c r="B14" s="3"/>
      <c r="C14" s="3"/>
      <c r="D14" s="3"/>
      <c r="E14" s="3" t="s">
        <v>200</v>
      </c>
      <c r="F14" s="3" t="s">
        <v>199</v>
      </c>
      <c r="G14" s="3" t="s">
        <v>40</v>
      </c>
      <c r="H14" s="3" t="s">
        <v>40</v>
      </c>
      <c r="I14" s="3"/>
    </row>
    <row r="15" customFormat="false" ht="30" hidden="false" customHeight="true" outlineLevel="0" collapsed="false">
      <c r="A15" s="3" t="s">
        <v>46</v>
      </c>
      <c r="B15" s="3" t="s">
        <v>193</v>
      </c>
      <c r="C15" s="3" t="s">
        <v>47</v>
      </c>
      <c r="D15" s="3" t="s">
        <v>48</v>
      </c>
      <c r="E15" s="3" t="s">
        <v>201</v>
      </c>
      <c r="F15" s="3" t="s">
        <v>141</v>
      </c>
      <c r="G15" s="3" t="s">
        <v>188</v>
      </c>
      <c r="H15" s="3" t="s">
        <v>202</v>
      </c>
      <c r="I15" s="3"/>
    </row>
    <row r="16" customFormat="false" ht="30" hidden="false" customHeight="true" outlineLevel="0" collapsed="false">
      <c r="A16" s="3"/>
      <c r="B16" s="3"/>
      <c r="C16" s="3"/>
      <c r="D16" s="3"/>
      <c r="E16" s="3" t="s">
        <v>203</v>
      </c>
      <c r="F16" s="3" t="s">
        <v>141</v>
      </c>
      <c r="G16" s="3" t="s">
        <v>40</v>
      </c>
      <c r="H16" s="3" t="s">
        <v>40</v>
      </c>
      <c r="I16" s="3"/>
    </row>
    <row r="17" customFormat="false" ht="30" hidden="false" customHeight="true" outlineLevel="0" collapsed="false">
      <c r="A17" s="3"/>
      <c r="B17" s="3"/>
      <c r="C17" s="3"/>
      <c r="D17" s="3"/>
      <c r="E17" s="3" t="s">
        <v>204</v>
      </c>
      <c r="F17" s="3" t="s">
        <v>141</v>
      </c>
      <c r="G17" s="3" t="s">
        <v>40</v>
      </c>
      <c r="H17" s="3" t="s">
        <v>40</v>
      </c>
      <c r="I17" s="3"/>
    </row>
    <row r="18" customFormat="false" ht="30" hidden="false" customHeight="true" outlineLevel="0" collapsed="false">
      <c r="A18" s="3"/>
      <c r="B18" s="3"/>
      <c r="C18" s="3"/>
      <c r="D18" s="3"/>
      <c r="E18" s="3" t="s">
        <v>205</v>
      </c>
      <c r="F18" s="3" t="s">
        <v>141</v>
      </c>
      <c r="G18" s="3" t="s">
        <v>40</v>
      </c>
      <c r="H18" s="3" t="s">
        <v>40</v>
      </c>
      <c r="I18" s="3"/>
    </row>
    <row r="19" customFormat="false" ht="30" hidden="false" customHeight="true" outlineLevel="0" collapsed="false">
      <c r="A19" s="3" t="s">
        <v>50</v>
      </c>
      <c r="B19" s="3" t="s">
        <v>193</v>
      </c>
      <c r="C19" s="3" t="s">
        <v>47</v>
      </c>
      <c r="D19" s="3" t="s">
        <v>51</v>
      </c>
      <c r="E19" s="3" t="s">
        <v>206</v>
      </c>
      <c r="F19" s="3" t="s">
        <v>207</v>
      </c>
      <c r="G19" s="3" t="s">
        <v>208</v>
      </c>
      <c r="H19" s="3" t="s">
        <v>209</v>
      </c>
      <c r="I19" s="3"/>
    </row>
    <row r="20" customFormat="false" ht="30" hidden="false" customHeight="true" outlineLevel="0" collapsed="false">
      <c r="A20" s="3"/>
      <c r="B20" s="3"/>
      <c r="C20" s="3"/>
      <c r="D20" s="3"/>
      <c r="E20" s="3" t="s">
        <v>210</v>
      </c>
      <c r="F20" s="3" t="s">
        <v>207</v>
      </c>
      <c r="G20" s="3" t="s">
        <v>40</v>
      </c>
      <c r="H20" s="3" t="s">
        <v>40</v>
      </c>
      <c r="I20" s="3"/>
    </row>
    <row r="21" customFormat="false" ht="30" hidden="false" customHeight="true" outlineLevel="0" collapsed="false">
      <c r="A21" s="3"/>
      <c r="B21" s="3"/>
      <c r="C21" s="3"/>
      <c r="D21" s="3"/>
      <c r="E21" s="3" t="s">
        <v>211</v>
      </c>
      <c r="F21" s="3" t="s">
        <v>212</v>
      </c>
      <c r="G21" s="3" t="s">
        <v>213</v>
      </c>
      <c r="H21" s="3" t="s">
        <v>40</v>
      </c>
      <c r="I21" s="3"/>
    </row>
    <row r="22" customFormat="false" ht="30" hidden="false" customHeight="true" outlineLevel="0" collapsed="false">
      <c r="A22" s="3" t="s">
        <v>54</v>
      </c>
      <c r="B22" s="3" t="s">
        <v>193</v>
      </c>
      <c r="C22" s="3" t="s">
        <v>55</v>
      </c>
      <c r="D22" s="3" t="s">
        <v>56</v>
      </c>
      <c r="E22" s="3" t="s">
        <v>214</v>
      </c>
      <c r="F22" s="3" t="s">
        <v>215</v>
      </c>
      <c r="G22" s="3" t="s">
        <v>196</v>
      </c>
      <c r="H22" s="3" t="s">
        <v>216</v>
      </c>
      <c r="I22" s="3"/>
    </row>
    <row r="23" customFormat="false" ht="30" hidden="false" customHeight="true" outlineLevel="0" collapsed="false">
      <c r="A23" s="3"/>
      <c r="B23" s="3"/>
      <c r="C23" s="3"/>
      <c r="D23" s="3"/>
      <c r="E23" s="3" t="s">
        <v>217</v>
      </c>
      <c r="F23" s="3" t="s">
        <v>218</v>
      </c>
      <c r="G23" s="3" t="s">
        <v>219</v>
      </c>
      <c r="H23" s="3" t="s">
        <v>40</v>
      </c>
      <c r="I23" s="3"/>
    </row>
    <row r="24" customFormat="false" ht="30" hidden="false" customHeight="true" outlineLevel="0" collapsed="false">
      <c r="A24" s="3" t="s">
        <v>59</v>
      </c>
      <c r="B24" s="3" t="s">
        <v>193</v>
      </c>
      <c r="C24" s="3" t="s">
        <v>55</v>
      </c>
      <c r="D24" s="3" t="s">
        <v>60</v>
      </c>
      <c r="E24" s="3" t="s">
        <v>220</v>
      </c>
      <c r="F24" s="3" t="s">
        <v>221</v>
      </c>
      <c r="G24" s="3" t="s">
        <v>222</v>
      </c>
      <c r="H24" s="3" t="s">
        <v>223</v>
      </c>
      <c r="I24" s="3"/>
    </row>
    <row r="25" customFormat="false" ht="30" hidden="false" customHeight="true" outlineLevel="0" collapsed="false">
      <c r="A25" s="3" t="s">
        <v>62</v>
      </c>
      <c r="B25" s="3" t="s">
        <v>193</v>
      </c>
      <c r="C25" s="3" t="s">
        <v>55</v>
      </c>
      <c r="D25" s="3" t="s">
        <v>63</v>
      </c>
      <c r="E25" s="3" t="s">
        <v>224</v>
      </c>
      <c r="F25" s="3" t="s">
        <v>144</v>
      </c>
      <c r="G25" s="3" t="s">
        <v>222</v>
      </c>
      <c r="H25" s="3" t="s">
        <v>225</v>
      </c>
      <c r="I25" s="3"/>
    </row>
    <row r="26" customFormat="false" ht="30" hidden="false" customHeight="true" outlineLevel="0" collapsed="false">
      <c r="A26" s="3" t="s">
        <v>66</v>
      </c>
      <c r="B26" s="3" t="s">
        <v>226</v>
      </c>
      <c r="C26" s="3" t="s">
        <v>47</v>
      </c>
      <c r="D26" s="3" t="s">
        <v>227</v>
      </c>
      <c r="E26" s="3" t="s">
        <v>228</v>
      </c>
      <c r="F26" s="3" t="s">
        <v>229</v>
      </c>
      <c r="G26" s="3" t="s">
        <v>142</v>
      </c>
      <c r="H26" s="3" t="s">
        <v>230</v>
      </c>
      <c r="I26" s="3"/>
    </row>
    <row r="27" customFormat="false" ht="30" hidden="false" customHeight="true" outlineLevel="0" collapsed="false">
      <c r="A27" s="3" t="s">
        <v>72</v>
      </c>
      <c r="B27" s="3" t="s">
        <v>226</v>
      </c>
      <c r="C27" s="3" t="s">
        <v>47</v>
      </c>
      <c r="D27" s="3" t="s">
        <v>231</v>
      </c>
      <c r="E27" s="3" t="s">
        <v>232</v>
      </c>
      <c r="F27" s="3" t="s">
        <v>233</v>
      </c>
      <c r="G27" s="3" t="s">
        <v>142</v>
      </c>
      <c r="H27" s="3" t="s">
        <v>234</v>
      </c>
      <c r="I27" s="3"/>
    </row>
    <row r="28" customFormat="false" ht="30" hidden="false" customHeight="true" outlineLevel="0" collapsed="false">
      <c r="A28" s="3" t="s">
        <v>76</v>
      </c>
      <c r="B28" s="3" t="s">
        <v>226</v>
      </c>
      <c r="C28" s="3" t="s">
        <v>55</v>
      </c>
      <c r="D28" s="3" t="s">
        <v>235</v>
      </c>
      <c r="E28" s="3" t="s">
        <v>236</v>
      </c>
      <c r="F28" s="3" t="s">
        <v>237</v>
      </c>
      <c r="G28" s="3" t="s">
        <v>142</v>
      </c>
      <c r="H28" s="3" t="s">
        <v>238</v>
      </c>
      <c r="I28" s="3"/>
    </row>
    <row r="29" customFormat="false" ht="30" hidden="false" customHeight="true" outlineLevel="0" collapsed="false">
      <c r="A29" s="3" t="s">
        <v>146</v>
      </c>
      <c r="B29" s="3" t="s">
        <v>226</v>
      </c>
      <c r="C29" s="3" t="s">
        <v>239</v>
      </c>
      <c r="D29" s="3" t="s">
        <v>240</v>
      </c>
      <c r="E29" s="3" t="s">
        <v>241</v>
      </c>
      <c r="F29" s="3" t="s">
        <v>144</v>
      </c>
      <c r="G29" s="3" t="s">
        <v>142</v>
      </c>
      <c r="H29" s="3" t="s">
        <v>242</v>
      </c>
      <c r="I29" s="3"/>
    </row>
    <row r="30" customFormat="false" ht="30" hidden="false" customHeight="true" outlineLevel="0" collapsed="false">
      <c r="A30" s="3" t="s">
        <v>150</v>
      </c>
      <c r="B30" s="3" t="s">
        <v>79</v>
      </c>
      <c r="C30" s="3" t="s">
        <v>78</v>
      </c>
      <c r="D30" s="3" t="s">
        <v>243</v>
      </c>
      <c r="E30" s="3" t="s">
        <v>244</v>
      </c>
      <c r="F30" s="3" t="s">
        <v>245</v>
      </c>
      <c r="G30" s="3" t="s">
        <v>149</v>
      </c>
      <c r="H30" s="3" t="s">
        <v>246</v>
      </c>
      <c r="I30" s="3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"/>
    <col collapsed="false" customWidth="true" hidden="false" outlineLevel="0" max="3" min="3" style="1" width="2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40"/>
  </cols>
  <sheetData>
    <row r="1" customFormat="false" ht="24" hidden="false" customHeight="true" outlineLevel="0" collapsed="false">
      <c r="A1" s="2" t="s">
        <v>247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5" t="s">
        <v>248</v>
      </c>
      <c r="B2" s="5"/>
      <c r="C2" s="5"/>
      <c r="D2" s="5"/>
      <c r="E2" s="5"/>
      <c r="F2" s="5" t="s">
        <v>249</v>
      </c>
      <c r="G2" s="5" t="s">
        <v>20</v>
      </c>
    </row>
    <row r="3" customFormat="false" ht="23.25" hidden="false" customHeight="true" outlineLevel="0" collapsed="false">
      <c r="A3" s="3" t="s">
        <v>250</v>
      </c>
      <c r="B3" s="3"/>
      <c r="C3" s="3"/>
      <c r="D3" s="3"/>
      <c r="E3" s="3"/>
      <c r="F3" s="27" t="n">
        <f aca="false">F18</f>
        <v>7125000</v>
      </c>
      <c r="G3" s="3" t="s">
        <v>251</v>
      </c>
    </row>
    <row r="4" customFormat="false" ht="15" hidden="false" customHeight="true" outlineLevel="0" collapsed="false">
      <c r="A4" s="3" t="s">
        <v>252</v>
      </c>
      <c r="B4" s="3"/>
      <c r="C4" s="3"/>
      <c r="D4" s="3"/>
      <c r="E4" s="3"/>
      <c r="F4" s="27" t="n">
        <f aca="false">F26</f>
        <v>3730000</v>
      </c>
      <c r="G4" s="3" t="s">
        <v>253</v>
      </c>
    </row>
    <row r="5" customFormat="false" ht="15" hidden="false" customHeight="true" outlineLevel="0" collapsed="false">
      <c r="A5" s="3" t="s">
        <v>254</v>
      </c>
      <c r="B5" s="3"/>
      <c r="C5" s="3"/>
      <c r="D5" s="3"/>
      <c r="E5" s="3"/>
      <c r="F5" s="27" t="n">
        <f aca="false">F33</f>
        <v>2750000</v>
      </c>
      <c r="G5" s="3" t="s">
        <v>255</v>
      </c>
    </row>
    <row r="6" customFormat="false" ht="15" hidden="false" customHeight="true" outlineLevel="0" collapsed="false">
      <c r="A6" s="3" t="s">
        <v>256</v>
      </c>
      <c r="B6" s="3"/>
      <c r="C6" s="3"/>
      <c r="D6" s="3"/>
      <c r="E6" s="3"/>
      <c r="F6" s="27" t="n">
        <f aca="false">F40</f>
        <v>3250000</v>
      </c>
      <c r="G6" s="3" t="s">
        <v>257</v>
      </c>
    </row>
    <row r="7" customFormat="false" ht="15" hidden="false" customHeight="true" outlineLevel="0" collapsed="false">
      <c r="A7" s="6" t="s">
        <v>258</v>
      </c>
      <c r="B7" s="6"/>
      <c r="C7" s="6"/>
      <c r="D7" s="6"/>
      <c r="E7" s="6"/>
      <c r="F7" s="28" t="n">
        <f aca="false">SUM(F3:F6)</f>
        <v>16855000</v>
      </c>
      <c r="G7" s="6"/>
    </row>
    <row r="8" customFormat="false" ht="15" hidden="false" customHeight="true" outlineLevel="0" collapsed="false">
      <c r="F8" s="29"/>
    </row>
    <row r="9" customFormat="false" ht="15" hidden="false" customHeight="true" outlineLevel="0" collapsed="false">
      <c r="A9" s="4" t="s">
        <v>259</v>
      </c>
      <c r="B9" s="4"/>
      <c r="C9" s="4"/>
      <c r="D9" s="4"/>
      <c r="E9" s="4"/>
      <c r="F9" s="4"/>
      <c r="G9" s="4"/>
    </row>
    <row r="10" customFormat="false" ht="23.25" hidden="false" customHeight="true" outlineLevel="0" collapsed="false">
      <c r="A10" s="5" t="s">
        <v>260</v>
      </c>
      <c r="B10" s="5" t="s">
        <v>261</v>
      </c>
      <c r="C10" s="5"/>
      <c r="D10" s="5" t="s">
        <v>262</v>
      </c>
      <c r="E10" s="5" t="s">
        <v>263</v>
      </c>
      <c r="F10" s="5" t="s">
        <v>264</v>
      </c>
      <c r="G10" s="5" t="s">
        <v>20</v>
      </c>
    </row>
    <row r="11" customFormat="false" ht="23.25" hidden="false" customHeight="true" outlineLevel="0" collapsed="false">
      <c r="A11" s="3" t="s">
        <v>265</v>
      </c>
      <c r="B11" s="3" t="s">
        <v>266</v>
      </c>
      <c r="C11" s="3"/>
      <c r="D11" s="3" t="n">
        <v>1</v>
      </c>
      <c r="E11" s="27" t="n">
        <v>1500000</v>
      </c>
      <c r="F11" s="27" t="n">
        <f aca="false">D11*E11</f>
        <v>1500000</v>
      </c>
      <c r="G11" s="3" t="s">
        <v>267</v>
      </c>
    </row>
    <row r="12" customFormat="false" ht="23.25" hidden="false" customHeight="true" outlineLevel="0" collapsed="false">
      <c r="A12" s="3" t="s">
        <v>268</v>
      </c>
      <c r="B12" s="3" t="s">
        <v>269</v>
      </c>
      <c r="C12" s="3"/>
      <c r="D12" s="3" t="n">
        <v>5</v>
      </c>
      <c r="E12" s="27" t="n">
        <v>350000</v>
      </c>
      <c r="F12" s="27" t="n">
        <f aca="false">D12*E12</f>
        <v>1750000</v>
      </c>
      <c r="G12" s="3" t="s">
        <v>270</v>
      </c>
    </row>
    <row r="13" customFormat="false" ht="23.25" hidden="false" customHeight="true" outlineLevel="0" collapsed="false">
      <c r="A13" s="3" t="s">
        <v>271</v>
      </c>
      <c r="B13" s="3" t="s">
        <v>266</v>
      </c>
      <c r="C13" s="3"/>
      <c r="D13" s="3" t="n">
        <v>5</v>
      </c>
      <c r="E13" s="27" t="n">
        <v>75000</v>
      </c>
      <c r="F13" s="27" t="n">
        <f aca="false">D13*E13</f>
        <v>375000</v>
      </c>
      <c r="G13" s="3" t="s">
        <v>272</v>
      </c>
    </row>
    <row r="14" customFormat="false" ht="15" hidden="false" customHeight="true" outlineLevel="0" collapsed="false">
      <c r="A14" s="3" t="s">
        <v>273</v>
      </c>
      <c r="B14" s="3" t="s">
        <v>274</v>
      </c>
      <c r="C14" s="3"/>
      <c r="D14" s="3" t="n">
        <v>5</v>
      </c>
      <c r="E14" s="27" t="n">
        <v>150000</v>
      </c>
      <c r="F14" s="27" t="n">
        <f aca="false">D14*E14</f>
        <v>750000</v>
      </c>
      <c r="G14" s="3" t="s">
        <v>275</v>
      </c>
    </row>
    <row r="15" customFormat="false" ht="15" hidden="false" customHeight="true" outlineLevel="0" collapsed="false">
      <c r="A15" s="3" t="s">
        <v>276</v>
      </c>
      <c r="B15" s="3" t="s">
        <v>277</v>
      </c>
      <c r="C15" s="3"/>
      <c r="D15" s="3" t="n">
        <v>5</v>
      </c>
      <c r="E15" s="27" t="n">
        <v>50000</v>
      </c>
      <c r="F15" s="27" t="n">
        <f aca="false">D15*E15</f>
        <v>250000</v>
      </c>
      <c r="G15" s="3" t="s">
        <v>278</v>
      </c>
    </row>
    <row r="16" customFormat="false" ht="23.25" hidden="false" customHeight="true" outlineLevel="0" collapsed="false">
      <c r="A16" s="3" t="s">
        <v>279</v>
      </c>
      <c r="B16" s="3" t="s">
        <v>277</v>
      </c>
      <c r="C16" s="3"/>
      <c r="D16" s="3" t="n">
        <v>5</v>
      </c>
      <c r="E16" s="27" t="n">
        <v>200000</v>
      </c>
      <c r="F16" s="27" t="n">
        <f aca="false">D16*E16</f>
        <v>1000000</v>
      </c>
      <c r="G16" s="3" t="s">
        <v>280</v>
      </c>
    </row>
    <row r="17" customFormat="false" ht="23.25" hidden="false" customHeight="true" outlineLevel="0" collapsed="false">
      <c r="A17" s="3" t="s">
        <v>281</v>
      </c>
      <c r="B17" s="3" t="s">
        <v>277</v>
      </c>
      <c r="C17" s="3"/>
      <c r="D17" s="3" t="n">
        <v>5</v>
      </c>
      <c r="E17" s="27" t="n">
        <v>300000</v>
      </c>
      <c r="F17" s="27" t="n">
        <f aca="false">D17*E17</f>
        <v>1500000</v>
      </c>
      <c r="G17" s="3" t="s">
        <v>282</v>
      </c>
    </row>
    <row r="18" customFormat="false" ht="15" hidden="false" customHeight="true" outlineLevel="0" collapsed="false">
      <c r="A18" s="6" t="s">
        <v>283</v>
      </c>
      <c r="B18" s="6"/>
      <c r="C18" s="6"/>
      <c r="D18" s="6"/>
      <c r="E18" s="28"/>
      <c r="F18" s="28" t="n">
        <f aca="false">SUM(F11:F17)</f>
        <v>7125000</v>
      </c>
      <c r="G18" s="6"/>
    </row>
    <row r="20" customFormat="false" ht="15" hidden="false" customHeight="true" outlineLevel="0" collapsed="false">
      <c r="A20" s="4" t="s">
        <v>284</v>
      </c>
      <c r="B20" s="4"/>
      <c r="C20" s="4"/>
      <c r="D20" s="4"/>
      <c r="E20" s="4"/>
      <c r="F20" s="4"/>
      <c r="G20" s="4"/>
    </row>
    <row r="21" customFormat="false" ht="23.25" hidden="false" customHeight="true" outlineLevel="0" collapsed="false">
      <c r="A21" s="5" t="s">
        <v>260</v>
      </c>
      <c r="B21" s="5" t="s">
        <v>261</v>
      </c>
      <c r="C21" s="5"/>
      <c r="D21" s="5" t="s">
        <v>262</v>
      </c>
      <c r="E21" s="5" t="s">
        <v>285</v>
      </c>
      <c r="F21" s="5" t="s">
        <v>264</v>
      </c>
      <c r="G21" s="5" t="s">
        <v>20</v>
      </c>
    </row>
    <row r="22" customFormat="false" ht="23.25" hidden="false" customHeight="true" outlineLevel="0" collapsed="false">
      <c r="A22" s="3" t="s">
        <v>286</v>
      </c>
      <c r="B22" s="3" t="s">
        <v>287</v>
      </c>
      <c r="C22" s="3"/>
      <c r="D22" s="3" t="n">
        <v>1</v>
      </c>
      <c r="E22" s="27" t="n">
        <v>500000</v>
      </c>
      <c r="F22" s="27" t="n">
        <f aca="false">D22*E22</f>
        <v>500000</v>
      </c>
      <c r="G22" s="3" t="s">
        <v>288</v>
      </c>
    </row>
    <row r="23" customFormat="false" ht="23.25" hidden="false" customHeight="true" outlineLevel="0" collapsed="false">
      <c r="A23" s="3" t="s">
        <v>289</v>
      </c>
      <c r="B23" s="3" t="s">
        <v>290</v>
      </c>
      <c r="C23" s="3"/>
      <c r="D23" s="3" t="n">
        <v>1</v>
      </c>
      <c r="E23" s="27" t="n">
        <v>3000000</v>
      </c>
      <c r="F23" s="27" t="n">
        <f aca="false">D23*E23</f>
        <v>3000000</v>
      </c>
      <c r="G23" s="3" t="s">
        <v>291</v>
      </c>
    </row>
    <row r="24" customFormat="false" ht="15" hidden="false" customHeight="true" outlineLevel="0" collapsed="false">
      <c r="A24" s="3" t="s">
        <v>292</v>
      </c>
      <c r="B24" s="3" t="s">
        <v>266</v>
      </c>
      <c r="C24" s="3"/>
      <c r="D24" s="3" t="n">
        <v>1</v>
      </c>
      <c r="E24" s="27" t="n">
        <v>200000</v>
      </c>
      <c r="F24" s="27" t="n">
        <f aca="false">D24*E24</f>
        <v>200000</v>
      </c>
      <c r="G24" s="3" t="s">
        <v>293</v>
      </c>
    </row>
    <row r="25" customFormat="false" ht="15" hidden="false" customHeight="true" outlineLevel="0" collapsed="false">
      <c r="A25" s="3" t="s">
        <v>294</v>
      </c>
      <c r="B25" s="3" t="s">
        <v>295</v>
      </c>
      <c r="C25" s="3"/>
      <c r="D25" s="3" t="n">
        <v>1</v>
      </c>
      <c r="E25" s="27" t="n">
        <v>30000</v>
      </c>
      <c r="F25" s="27" t="n">
        <f aca="false">D25*E25</f>
        <v>30000</v>
      </c>
      <c r="G25" s="3" t="s">
        <v>296</v>
      </c>
    </row>
    <row r="26" customFormat="false" ht="15" hidden="false" customHeight="true" outlineLevel="0" collapsed="false">
      <c r="A26" s="6" t="s">
        <v>283</v>
      </c>
      <c r="B26" s="6"/>
      <c r="C26" s="6"/>
      <c r="D26" s="6"/>
      <c r="E26" s="28"/>
      <c r="F26" s="28" t="n">
        <f aca="false">SUM(F22:F25)</f>
        <v>3730000</v>
      </c>
      <c r="G26" s="6"/>
    </row>
    <row r="28" customFormat="false" ht="15" hidden="false" customHeight="true" outlineLevel="0" collapsed="false">
      <c r="A28" s="4" t="s">
        <v>297</v>
      </c>
      <c r="B28" s="4"/>
      <c r="C28" s="4"/>
      <c r="D28" s="4"/>
      <c r="E28" s="4"/>
      <c r="F28" s="4"/>
      <c r="G28" s="4"/>
    </row>
    <row r="29" customFormat="false" ht="23.25" hidden="false" customHeight="true" outlineLevel="0" collapsed="false">
      <c r="A29" s="5" t="s">
        <v>260</v>
      </c>
      <c r="B29" s="5" t="s">
        <v>261</v>
      </c>
      <c r="C29" s="5"/>
      <c r="D29" s="5" t="s">
        <v>262</v>
      </c>
      <c r="E29" s="5" t="s">
        <v>263</v>
      </c>
      <c r="F29" s="5" t="s">
        <v>264</v>
      </c>
      <c r="G29" s="5" t="s">
        <v>20</v>
      </c>
    </row>
    <row r="30" customFormat="false" ht="23.25" hidden="false" customHeight="true" outlineLevel="0" collapsed="false">
      <c r="A30" s="3" t="s">
        <v>298</v>
      </c>
      <c r="B30" s="3" t="s">
        <v>299</v>
      </c>
      <c r="C30" s="3"/>
      <c r="D30" s="3" t="n">
        <v>5</v>
      </c>
      <c r="E30" s="27" t="n">
        <v>200000</v>
      </c>
      <c r="F30" s="27" t="n">
        <f aca="false">D30*E30</f>
        <v>1000000</v>
      </c>
      <c r="G30" s="3" t="s">
        <v>300</v>
      </c>
    </row>
    <row r="31" customFormat="false" ht="15" hidden="false" customHeight="true" outlineLevel="0" collapsed="false">
      <c r="A31" s="3" t="s">
        <v>301</v>
      </c>
      <c r="B31" s="3" t="s">
        <v>277</v>
      </c>
      <c r="C31" s="3"/>
      <c r="D31" s="3" t="n">
        <v>5</v>
      </c>
      <c r="E31" s="27" t="n">
        <v>250000</v>
      </c>
      <c r="F31" s="27" t="n">
        <f aca="false">D31*E31</f>
        <v>1250000</v>
      </c>
      <c r="G31" s="3" t="s">
        <v>302</v>
      </c>
    </row>
    <row r="32" customFormat="false" ht="15" hidden="false" customHeight="true" outlineLevel="0" collapsed="false">
      <c r="A32" s="3" t="s">
        <v>303</v>
      </c>
      <c r="B32" s="3" t="s">
        <v>304</v>
      </c>
      <c r="C32" s="3"/>
      <c r="D32" s="3" t="n">
        <v>5</v>
      </c>
      <c r="E32" s="27" t="n">
        <v>100000</v>
      </c>
      <c r="F32" s="27" t="n">
        <f aca="false">D32*E32</f>
        <v>500000</v>
      </c>
      <c r="G32" s="3" t="s">
        <v>305</v>
      </c>
    </row>
    <row r="33" customFormat="false" ht="15" hidden="false" customHeight="true" outlineLevel="0" collapsed="false">
      <c r="A33" s="6" t="s">
        <v>283</v>
      </c>
      <c r="B33" s="6"/>
      <c r="C33" s="6"/>
      <c r="D33" s="6"/>
      <c r="E33" s="28"/>
      <c r="F33" s="28" t="n">
        <f aca="false">SUM(F30:F32)</f>
        <v>2750000</v>
      </c>
      <c r="G33" s="6"/>
    </row>
    <row r="35" customFormat="false" ht="15" hidden="false" customHeight="true" outlineLevel="0" collapsed="false">
      <c r="A35" s="4" t="s">
        <v>306</v>
      </c>
      <c r="B35" s="4"/>
      <c r="C35" s="4"/>
      <c r="D35" s="4"/>
      <c r="E35" s="4"/>
      <c r="F35" s="4"/>
      <c r="G35" s="4"/>
    </row>
    <row r="36" customFormat="false" ht="23.25" hidden="false" customHeight="true" outlineLevel="0" collapsed="false">
      <c r="A36" s="5" t="s">
        <v>260</v>
      </c>
      <c r="B36" s="5" t="s">
        <v>261</v>
      </c>
      <c r="C36" s="5"/>
      <c r="D36" s="5" t="s">
        <v>262</v>
      </c>
      <c r="E36" s="5" t="s">
        <v>307</v>
      </c>
      <c r="F36" s="5" t="s">
        <v>264</v>
      </c>
      <c r="G36" s="5" t="s">
        <v>20</v>
      </c>
    </row>
    <row r="37" customFormat="false" ht="15" hidden="false" customHeight="true" outlineLevel="0" collapsed="false">
      <c r="A37" s="3" t="s">
        <v>308</v>
      </c>
      <c r="B37" s="3" t="s">
        <v>274</v>
      </c>
      <c r="C37" s="3"/>
      <c r="D37" s="3" t="n">
        <v>1</v>
      </c>
      <c r="E37" s="27" t="n">
        <v>1000000</v>
      </c>
      <c r="F37" s="27" t="n">
        <f aca="false">D37*E37</f>
        <v>1000000</v>
      </c>
      <c r="G37" s="3" t="s">
        <v>309</v>
      </c>
    </row>
    <row r="38" customFormat="false" ht="34.5" hidden="false" customHeight="true" outlineLevel="0" collapsed="false">
      <c r="A38" s="3" t="s">
        <v>310</v>
      </c>
      <c r="B38" s="3" t="s">
        <v>311</v>
      </c>
      <c r="C38" s="3"/>
      <c r="D38" s="3" t="n">
        <v>1</v>
      </c>
      <c r="E38" s="27" t="n">
        <v>500000</v>
      </c>
      <c r="F38" s="27" t="n">
        <f aca="false">D38*E38</f>
        <v>500000</v>
      </c>
      <c r="G38" s="3" t="s">
        <v>312</v>
      </c>
    </row>
    <row r="39" customFormat="false" ht="15" hidden="false" customHeight="true" outlineLevel="0" collapsed="false">
      <c r="A39" s="3" t="s">
        <v>313</v>
      </c>
      <c r="B39" s="3" t="s">
        <v>277</v>
      </c>
      <c r="C39" s="3"/>
      <c r="D39" s="3" t="n">
        <v>5</v>
      </c>
      <c r="E39" s="27" t="n">
        <v>350000</v>
      </c>
      <c r="F39" s="27" t="n">
        <f aca="false">D39*E39</f>
        <v>1750000</v>
      </c>
      <c r="G39" s="3" t="s">
        <v>314</v>
      </c>
    </row>
    <row r="40" customFormat="false" ht="15" hidden="false" customHeight="true" outlineLevel="0" collapsed="false">
      <c r="A40" s="6" t="s">
        <v>283</v>
      </c>
      <c r="B40" s="6"/>
      <c r="C40" s="6"/>
      <c r="D40" s="6"/>
      <c r="E40" s="28"/>
      <c r="F40" s="28" t="n">
        <f aca="false">SUM(F37:F39)</f>
        <v>3250000</v>
      </c>
      <c r="G40" s="6"/>
    </row>
  </sheetData>
  <mergeCells count="5">
    <mergeCell ref="A1:G1"/>
    <mergeCell ref="A9:G9"/>
    <mergeCell ref="A20:G20"/>
    <mergeCell ref="A28:G28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9" min="4" style="1" width="9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28"/>
  </cols>
  <sheetData>
    <row r="1" customFormat="false" ht="24" hidden="false" customHeight="true" outlineLevel="0" collapsed="false">
      <c r="A1" s="2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4" t="s">
        <v>316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49.5" hidden="false" customHeight="true" outlineLevel="0" collapsed="false">
      <c r="A3" s="5" t="s">
        <v>29</v>
      </c>
      <c r="B3" s="5" t="s">
        <v>317</v>
      </c>
      <c r="C3" s="5" t="s">
        <v>318</v>
      </c>
      <c r="D3" s="5" t="s">
        <v>319</v>
      </c>
      <c r="E3" s="5" t="s">
        <v>320</v>
      </c>
      <c r="F3" s="5" t="s">
        <v>321</v>
      </c>
      <c r="G3" s="5" t="s">
        <v>322</v>
      </c>
      <c r="H3" s="5" t="s">
        <v>323</v>
      </c>
      <c r="I3" s="5" t="s">
        <v>324</v>
      </c>
      <c r="J3" s="5" t="s">
        <v>325</v>
      </c>
      <c r="K3" s="5" t="s">
        <v>326</v>
      </c>
      <c r="L3" s="5" t="s">
        <v>327</v>
      </c>
    </row>
    <row r="4" customFormat="false" ht="15" hidden="false" customHeight="true" outlineLevel="0" collapsed="false">
      <c r="A4" s="3" t="n">
        <v>1</v>
      </c>
      <c r="B4" s="3" t="s">
        <v>328</v>
      </c>
      <c r="C4" s="3" t="s">
        <v>329</v>
      </c>
      <c r="D4" s="30" t="n">
        <v>80</v>
      </c>
      <c r="E4" s="30" t="n">
        <v>82</v>
      </c>
      <c r="F4" s="30" t="n">
        <v>78</v>
      </c>
      <c r="G4" s="30" t="n">
        <v>85</v>
      </c>
      <c r="H4" s="30" t="n">
        <v>80</v>
      </c>
      <c r="I4" s="30" t="n">
        <v>82</v>
      </c>
      <c r="J4" s="30" t="n">
        <v>80</v>
      </c>
      <c r="K4" s="30" t="n">
        <v>78</v>
      </c>
      <c r="L4" s="3" t="n">
        <f aca="false">ROUND(D4*0.05+E4*0.1+F4*0.15+G4*0.1+H4*0.3+I4*0.15+J4*0.1+K4*0.05,1)</f>
        <v>80.6</v>
      </c>
    </row>
    <row r="5" customFormat="false" ht="15" hidden="false" customHeight="true" outlineLevel="0" collapsed="false">
      <c r="A5" s="3" t="n">
        <v>2</v>
      </c>
      <c r="B5" s="3" t="s">
        <v>330</v>
      </c>
      <c r="C5" s="3" t="s">
        <v>331</v>
      </c>
      <c r="D5" s="30" t="n">
        <v>75</v>
      </c>
      <c r="E5" s="30" t="n">
        <v>70</v>
      </c>
      <c r="F5" s="30" t="n">
        <v>68</v>
      </c>
      <c r="G5" s="30" t="n">
        <v>72</v>
      </c>
      <c r="H5" s="30" t="n">
        <v>65</v>
      </c>
      <c r="I5" s="30" t="n">
        <v>70</v>
      </c>
      <c r="J5" s="30" t="n">
        <v>70</v>
      </c>
      <c r="K5" s="30" t="n">
        <v>65</v>
      </c>
      <c r="L5" s="3" t="n">
        <f aca="false">ROUND(D5*0.05+E5*0.1+F5*0.15+G5*0.1+H5*0.3+I5*0.15+J5*0.1+K5*0.05,1)</f>
        <v>68.4</v>
      </c>
    </row>
    <row r="6" customFormat="false" ht="15" hidden="false" customHeight="true" outlineLevel="0" collapsed="false">
      <c r="A6" s="3" t="n">
        <v>3</v>
      </c>
      <c r="B6" s="3" t="s">
        <v>332</v>
      </c>
      <c r="C6" s="3" t="s">
        <v>333</v>
      </c>
      <c r="D6" s="30" t="n">
        <v>90</v>
      </c>
      <c r="E6" s="30" t="n">
        <v>88</v>
      </c>
      <c r="F6" s="30" t="n">
        <v>85</v>
      </c>
      <c r="G6" s="30" t="n">
        <v>90</v>
      </c>
      <c r="H6" s="30" t="n">
        <v>92</v>
      </c>
      <c r="I6" s="30" t="n">
        <v>88</v>
      </c>
      <c r="J6" s="30" t="n">
        <v>90</v>
      </c>
      <c r="K6" s="30" t="n">
        <v>90</v>
      </c>
      <c r="L6" s="3" t="n">
        <f aca="false">ROUND(D6*0.05+E6*0.1+F6*0.15+G6*0.1+H6*0.3+I6*0.15+J6*0.1+K6*0.05,1)</f>
        <v>89.4</v>
      </c>
    </row>
    <row r="7" customFormat="false" ht="15" hidden="false" customHeight="true" outlineLevel="0" collapsed="false">
      <c r="A7" s="3" t="n">
        <v>4</v>
      </c>
      <c r="B7" s="3" t="s">
        <v>334</v>
      </c>
      <c r="C7" s="3" t="s">
        <v>335</v>
      </c>
      <c r="D7" s="30" t="n">
        <v>60</v>
      </c>
      <c r="E7" s="30" t="n">
        <v>55</v>
      </c>
      <c r="F7" s="30" t="n">
        <v>58</v>
      </c>
      <c r="G7" s="30" t="n">
        <v>60</v>
      </c>
      <c r="H7" s="30" t="n">
        <v>55</v>
      </c>
      <c r="I7" s="30" t="n">
        <v>60</v>
      </c>
      <c r="J7" s="30" t="n">
        <v>58</v>
      </c>
      <c r="K7" s="30" t="n">
        <v>55</v>
      </c>
      <c r="L7" s="3" t="n">
        <f aca="false">ROUND(D7*0.05+E7*0.1+F7*0.15+G7*0.1+H7*0.3+I7*0.15+J7*0.1+K7*0.05,1)</f>
        <v>57.3</v>
      </c>
    </row>
    <row r="8" customFormat="false" ht="15" hidden="false" customHeight="true" outlineLevel="0" collapsed="false">
      <c r="A8" s="3" t="n">
        <v>5</v>
      </c>
      <c r="B8" s="3" t="s">
        <v>336</v>
      </c>
      <c r="C8" s="3" t="s">
        <v>337</v>
      </c>
      <c r="D8" s="30" t="n">
        <v>85</v>
      </c>
      <c r="E8" s="30" t="n">
        <v>80</v>
      </c>
      <c r="F8" s="30" t="n">
        <v>82</v>
      </c>
      <c r="G8" s="30" t="n">
        <v>84</v>
      </c>
      <c r="H8" s="30" t="n">
        <v>86</v>
      </c>
      <c r="I8" s="30" t="n">
        <v>84</v>
      </c>
      <c r="J8" s="30" t="n">
        <v>80</v>
      </c>
      <c r="K8" s="30" t="n">
        <v>82</v>
      </c>
      <c r="L8" s="3" t="n">
        <f aca="false">ROUND(D8*0.05+E8*0.1+F8*0.15+G8*0.1+H8*0.3+I8*0.15+J8*0.1+K8*0.05,1)</f>
        <v>83.5</v>
      </c>
    </row>
    <row r="9" customFormat="false" ht="15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customFormat="false" ht="45.75" hidden="false" customHeight="true" outlineLevel="0" collapsed="false">
      <c r="A10" s="5" t="s">
        <v>29</v>
      </c>
      <c r="B10" s="5" t="s">
        <v>317</v>
      </c>
      <c r="C10" s="5" t="s">
        <v>318</v>
      </c>
      <c r="D10" s="5" t="s">
        <v>338</v>
      </c>
      <c r="E10" s="5" t="s">
        <v>339</v>
      </c>
      <c r="F10" s="5" t="s">
        <v>340</v>
      </c>
    </row>
    <row r="11" customFormat="false" ht="15" hidden="false" customHeight="true" outlineLevel="0" collapsed="false">
      <c r="A11" s="3" t="n">
        <v>1</v>
      </c>
      <c r="B11" s="3" t="s">
        <v>328</v>
      </c>
      <c r="C11" s="3" t="s">
        <v>329</v>
      </c>
      <c r="D11" s="3" t="n">
        <f aca="false">L4</f>
        <v>80.6</v>
      </c>
      <c r="E11" s="3" t="str">
        <f aca="false">IF(L4&gt;=85,"A - Sangat Baik",IF(L4&gt;=75,"B - Baik",IF(L4&gt;=65,"C - Cukup","D - Kurang")))</f>
        <v>B - Baik</v>
      </c>
      <c r="F11" s="3"/>
      <c r="G11" s="3"/>
      <c r="H11" s="3"/>
    </row>
    <row r="12" customFormat="false" ht="15" hidden="false" customHeight="true" outlineLevel="0" collapsed="false">
      <c r="A12" s="3" t="n">
        <v>2</v>
      </c>
      <c r="B12" s="3" t="s">
        <v>330</v>
      </c>
      <c r="C12" s="3" t="s">
        <v>331</v>
      </c>
      <c r="D12" s="3" t="n">
        <f aca="false">L5</f>
        <v>68.4</v>
      </c>
      <c r="E12" s="3" t="str">
        <f aca="false">IF(L5&gt;=85,"A - Sangat Baik",IF(L5&gt;=75,"B - Baik",IF(L5&gt;=65,"C - Cukup","D - Kurang")))</f>
        <v>C - Cukup</v>
      </c>
      <c r="F12" s="3"/>
      <c r="G12" s="3"/>
      <c r="H12" s="3"/>
    </row>
    <row r="13" customFormat="false" ht="15" hidden="false" customHeight="true" outlineLevel="0" collapsed="false">
      <c r="A13" s="3" t="n">
        <v>3</v>
      </c>
      <c r="B13" s="3" t="s">
        <v>332</v>
      </c>
      <c r="C13" s="3" t="s">
        <v>333</v>
      </c>
      <c r="D13" s="3" t="n">
        <f aca="false">L6</f>
        <v>89.4</v>
      </c>
      <c r="E13" s="3" t="str">
        <f aca="false">IF(L6&gt;=85,"A - Sangat Baik",IF(L6&gt;=75,"B - Baik",IF(L6&gt;=65,"C - Cukup","D - Kurang")))</f>
        <v>A - Sangat Baik</v>
      </c>
      <c r="F13" s="3"/>
      <c r="G13" s="3"/>
      <c r="H13" s="3"/>
    </row>
    <row r="14" customFormat="false" ht="15" hidden="false" customHeight="true" outlineLevel="0" collapsed="false">
      <c r="A14" s="3" t="n">
        <v>4</v>
      </c>
      <c r="B14" s="3" t="s">
        <v>334</v>
      </c>
      <c r="C14" s="3" t="s">
        <v>335</v>
      </c>
      <c r="D14" s="3" t="n">
        <f aca="false">L7</f>
        <v>57.3</v>
      </c>
      <c r="E14" s="3" t="str">
        <f aca="false">IF(L7&gt;=85,"A - Sangat Baik",IF(L7&gt;=75,"B - Baik",IF(L7&gt;=65,"C - Cukup","D - Kurang")))</f>
        <v>D - Kurang</v>
      </c>
      <c r="F14" s="3"/>
      <c r="G14" s="3"/>
      <c r="H14" s="3"/>
    </row>
    <row r="15" customFormat="false" ht="15" hidden="false" customHeight="true" outlineLevel="0" collapsed="false">
      <c r="A15" s="3" t="n">
        <v>5</v>
      </c>
      <c r="B15" s="3" t="s">
        <v>336</v>
      </c>
      <c r="C15" s="3" t="s">
        <v>337</v>
      </c>
      <c r="D15" s="3" t="n">
        <f aca="false">L8</f>
        <v>83.5</v>
      </c>
      <c r="E15" s="3" t="str">
        <f aca="false">IF(L8&gt;=85,"A - Sangat Baik",IF(L8&gt;=75,"B - Baik",IF(L8&gt;=65,"C - Cukup","D - Kurang")))</f>
        <v>B - Baik</v>
      </c>
      <c r="F15" s="3"/>
      <c r="G15" s="3"/>
      <c r="H15" s="3"/>
    </row>
    <row r="17" customFormat="false" ht="168" hidden="false" customHeight="true" outlineLevel="0" collapsed="false">
      <c r="A17" s="3"/>
      <c r="B17" s="25" t="s">
        <v>341</v>
      </c>
    </row>
    <row r="19" customFormat="false" ht="15" hidden="false" customHeight="true" outlineLevel="0" collapsed="false">
      <c r="A19" s="4" t="s">
        <v>342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57" hidden="false" customHeight="true" outlineLevel="0" collapsed="false">
      <c r="A20" s="3" t="s">
        <v>343</v>
      </c>
      <c r="B20" s="3" t="s">
        <v>344</v>
      </c>
      <c r="C20" s="3" t="s">
        <v>345</v>
      </c>
    </row>
    <row r="21" customFormat="false" ht="15" hidden="false" customHeight="true" outlineLevel="0" collapsed="false">
      <c r="A21" s="3" t="s">
        <v>317</v>
      </c>
      <c r="B21" s="3" t="s">
        <v>344</v>
      </c>
      <c r="C21" s="3" t="s">
        <v>345</v>
      </c>
    </row>
    <row r="22" customFormat="false" ht="90.75" hidden="false" customHeight="true" outlineLevel="0" collapsed="false">
      <c r="A22" s="3" t="s">
        <v>346</v>
      </c>
      <c r="B22" s="3" t="s">
        <v>344</v>
      </c>
      <c r="C22" s="3" t="s">
        <v>345</v>
      </c>
    </row>
    <row r="23" customFormat="false" ht="57" hidden="false" customHeight="true" outlineLevel="0" collapsed="false">
      <c r="A23" s="3" t="s">
        <v>347</v>
      </c>
      <c r="B23" s="3" t="s">
        <v>344</v>
      </c>
      <c r="C23" s="3" t="s">
        <v>345</v>
      </c>
    </row>
    <row r="25" customFormat="false" ht="23.25" hidden="false" customHeight="true" outlineLevel="0" collapsed="false">
      <c r="A25" s="5" t="s">
        <v>29</v>
      </c>
      <c r="B25" s="5" t="s">
        <v>348</v>
      </c>
      <c r="C25" s="5" t="s">
        <v>349</v>
      </c>
      <c r="D25" s="5" t="s">
        <v>35</v>
      </c>
      <c r="E25" s="5" t="s">
        <v>41</v>
      </c>
      <c r="F25" s="5" t="s">
        <v>46</v>
      </c>
      <c r="G25" s="5" t="s">
        <v>50</v>
      </c>
      <c r="H25" s="5" t="s">
        <v>54</v>
      </c>
      <c r="I25" s="5" t="s">
        <v>350</v>
      </c>
      <c r="J25" s="5"/>
      <c r="K25" s="5"/>
      <c r="L25" s="5"/>
    </row>
    <row r="26" customFormat="false" ht="45.75" hidden="false" customHeight="true" outlineLevel="0" collapsed="false">
      <c r="A26" s="3" t="s">
        <v>35</v>
      </c>
      <c r="B26" s="3" t="s">
        <v>351</v>
      </c>
      <c r="C26" s="3" t="s">
        <v>352</v>
      </c>
      <c r="D26" s="3"/>
      <c r="E26" s="3"/>
      <c r="F26" s="3"/>
      <c r="G26" s="3"/>
      <c r="H26" s="3"/>
      <c r="I26" s="3"/>
      <c r="J26" s="3"/>
      <c r="K26" s="3"/>
      <c r="L26" s="3"/>
    </row>
    <row r="27" customFormat="false" ht="34.5" hidden="false" customHeight="true" outlineLevel="0" collapsed="false">
      <c r="A27" s="3"/>
      <c r="B27" s="3"/>
      <c r="C27" s="3" t="s">
        <v>353</v>
      </c>
      <c r="D27" s="3"/>
      <c r="E27" s="3"/>
      <c r="F27" s="3"/>
      <c r="G27" s="3"/>
      <c r="H27" s="3"/>
      <c r="I27" s="3"/>
      <c r="J27" s="3"/>
      <c r="K27" s="3"/>
      <c r="L27" s="3"/>
    </row>
    <row r="28" customFormat="false" ht="34.5" hidden="false" customHeight="true" outlineLevel="0" collapsed="false">
      <c r="A28" s="3" t="s">
        <v>41</v>
      </c>
      <c r="B28" s="3" t="s">
        <v>51</v>
      </c>
      <c r="C28" s="3" t="s">
        <v>354</v>
      </c>
      <c r="D28" s="3"/>
      <c r="E28" s="3"/>
      <c r="F28" s="3"/>
      <c r="G28" s="3"/>
      <c r="H28" s="3"/>
      <c r="I28" s="3"/>
      <c r="J28" s="3"/>
      <c r="K28" s="3"/>
      <c r="L28" s="3"/>
    </row>
    <row r="29" customFormat="false" ht="23.25" hidden="false" customHeight="true" outlineLevel="0" collapsed="false">
      <c r="A29" s="3"/>
      <c r="B29" s="3"/>
      <c r="C29" s="3" t="s">
        <v>355</v>
      </c>
      <c r="D29" s="3"/>
      <c r="E29" s="3"/>
      <c r="F29" s="3"/>
      <c r="G29" s="3"/>
      <c r="H29" s="3"/>
      <c r="I29" s="3"/>
      <c r="J29" s="3"/>
      <c r="K29" s="3"/>
      <c r="L29" s="3"/>
    </row>
    <row r="30" customFormat="false" ht="34.5" hidden="false" customHeight="true" outlineLevel="0" collapsed="false">
      <c r="A30" s="3" t="s">
        <v>46</v>
      </c>
      <c r="B30" s="3" t="s">
        <v>56</v>
      </c>
      <c r="C30" s="3" t="s">
        <v>356</v>
      </c>
      <c r="D30" s="3"/>
      <c r="E30" s="3"/>
      <c r="F30" s="3"/>
      <c r="G30" s="3"/>
      <c r="H30" s="3"/>
      <c r="I30" s="3"/>
      <c r="J30" s="3"/>
      <c r="K30" s="3"/>
      <c r="L30" s="3"/>
    </row>
    <row r="31" customFormat="false" ht="23.25" hidden="false" customHeight="true" outlineLevel="0" collapsed="false">
      <c r="A31" s="3"/>
      <c r="B31" s="3"/>
      <c r="C31" s="3" t="s">
        <v>357</v>
      </c>
      <c r="D31" s="3"/>
      <c r="E31" s="3"/>
      <c r="F31" s="3"/>
      <c r="G31" s="3"/>
      <c r="H31" s="3"/>
      <c r="I31" s="3"/>
      <c r="J31" s="3"/>
      <c r="K31" s="3"/>
      <c r="L31" s="3"/>
    </row>
    <row r="32" customFormat="false" ht="45.75" hidden="false" customHeight="true" outlineLevel="0" collapsed="false">
      <c r="A32" s="3" t="s">
        <v>50</v>
      </c>
      <c r="B32" s="3" t="s">
        <v>63</v>
      </c>
      <c r="C32" s="3" t="s">
        <v>358</v>
      </c>
      <c r="D32" s="3"/>
      <c r="E32" s="3"/>
      <c r="F32" s="3"/>
      <c r="G32" s="3"/>
      <c r="H32" s="3"/>
      <c r="I32" s="3"/>
      <c r="J32" s="3"/>
      <c r="K32" s="3"/>
      <c r="L32" s="3"/>
    </row>
    <row r="33" customFormat="false" ht="34.5" hidden="false" customHeight="true" outlineLevel="0" collapsed="false">
      <c r="A33" s="3"/>
      <c r="B33" s="3"/>
      <c r="C33" s="3" t="s">
        <v>359</v>
      </c>
      <c r="D33" s="3"/>
      <c r="E33" s="3"/>
      <c r="F33" s="3"/>
      <c r="G33" s="3"/>
      <c r="H33" s="3"/>
      <c r="I33" s="3"/>
      <c r="J33" s="3"/>
      <c r="K33" s="3"/>
      <c r="L33" s="3"/>
    </row>
    <row r="34" customFormat="false" ht="23.25" hidden="false" customHeight="true" outlineLevel="0" collapsed="false">
      <c r="A34" s="3" t="s">
        <v>54</v>
      </c>
      <c r="B34" s="3" t="s">
        <v>360</v>
      </c>
      <c r="C34" s="3" t="s">
        <v>361</v>
      </c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2" hidden="false" customHeight="true" outlineLevel="0" collapsed="false">
      <c r="A35" s="6"/>
      <c r="B35" s="6"/>
      <c r="C35" s="6" t="s">
        <v>362</v>
      </c>
      <c r="D35" s="6"/>
      <c r="E35" s="6"/>
      <c r="F35" s="6"/>
      <c r="G35" s="6"/>
      <c r="H35" s="6"/>
      <c r="I35" s="32" t="n">
        <f aca="false">SUM(D26:H34)</f>
        <v>0</v>
      </c>
      <c r="J35" s="32"/>
      <c r="K35" s="32"/>
      <c r="L35" s="32"/>
    </row>
    <row r="36" customFormat="false" ht="53.25" hidden="false" customHeight="true" outlineLevel="0" collapsed="false">
      <c r="A36" s="3"/>
      <c r="B36" s="3"/>
      <c r="C36" s="25" t="s">
        <v>363</v>
      </c>
    </row>
  </sheetData>
  <mergeCells count="25">
    <mergeCell ref="A1:L1"/>
    <mergeCell ref="A2:L2"/>
    <mergeCell ref="A9:L9"/>
    <mergeCell ref="E11:F11"/>
    <mergeCell ref="F11:H11"/>
    <mergeCell ref="E12:F12"/>
    <mergeCell ref="F12:H12"/>
    <mergeCell ref="E13:F13"/>
    <mergeCell ref="F13:H13"/>
    <mergeCell ref="E14:F14"/>
    <mergeCell ref="F14:H14"/>
    <mergeCell ref="E15:F15"/>
    <mergeCell ref="F15:H15"/>
    <mergeCell ref="A19:L19"/>
    <mergeCell ref="I25:L25"/>
    <mergeCell ref="I26:L26"/>
    <mergeCell ref="I27:L27"/>
    <mergeCell ref="I28:L28"/>
    <mergeCell ref="I29:L29"/>
    <mergeCell ref="I30:L30"/>
    <mergeCell ref="I31:L31"/>
    <mergeCell ref="I32:L32"/>
    <mergeCell ref="I33:L33"/>
    <mergeCell ref="I34:L34"/>
    <mergeCell ref="I35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50"/>
    <col collapsed="false" customWidth="true" hidden="false" outlineLevel="0" max="6" min="6" style="1" width="20"/>
    <col collapsed="false" customWidth="true" hidden="false" outlineLevel="0" max="7" min="7" style="1" width="12"/>
    <col collapsed="false" customWidth="true" hidden="false" outlineLevel="0" max="8" min="8" style="1" width="24"/>
  </cols>
  <sheetData>
    <row r="1" customFormat="false" ht="24" hidden="false" customHeight="true" outlineLevel="0" collapsed="false">
      <c r="A1" s="2" t="s">
        <v>364</v>
      </c>
      <c r="B1" s="2"/>
      <c r="C1" s="2"/>
      <c r="D1" s="2"/>
      <c r="E1" s="2"/>
      <c r="F1" s="2"/>
      <c r="G1" s="2"/>
      <c r="H1" s="2"/>
    </row>
    <row r="2" customFormat="false" ht="90.75" hidden="false" customHeight="true" outlineLevel="0" collapsed="false">
      <c r="A2" s="3"/>
      <c r="B2" s="3" t="s">
        <v>365</v>
      </c>
      <c r="C2" s="3" t="s">
        <v>366</v>
      </c>
    </row>
    <row r="3" customFormat="false" ht="135.75" hidden="false" customHeight="true" outlineLevel="0" collapsed="false">
      <c r="A3" s="3"/>
      <c r="B3" s="3" t="s">
        <v>173</v>
      </c>
      <c r="C3" s="3" t="s">
        <v>367</v>
      </c>
    </row>
    <row r="4" customFormat="false" ht="45.75" hidden="false" customHeight="true" outlineLevel="0" collapsed="false">
      <c r="A4" s="3"/>
      <c r="B4" s="3" t="s">
        <v>177</v>
      </c>
      <c r="C4" s="3" t="s">
        <v>368</v>
      </c>
    </row>
    <row r="6" customFormat="false" ht="15" hidden="false" customHeight="true" outlineLevel="0" collapsed="false">
      <c r="A6" s="5" t="s">
        <v>29</v>
      </c>
      <c r="B6" s="5" t="s">
        <v>365</v>
      </c>
      <c r="C6" s="5" t="s">
        <v>179</v>
      </c>
      <c r="D6" s="5" t="s">
        <v>32</v>
      </c>
      <c r="E6" s="5" t="s">
        <v>369</v>
      </c>
      <c r="F6" s="5" t="s">
        <v>183</v>
      </c>
      <c r="G6" s="5" t="s">
        <v>112</v>
      </c>
      <c r="H6" s="5" t="s">
        <v>184</v>
      </c>
    </row>
    <row r="7" customFormat="false" ht="36" hidden="false" customHeight="true" outlineLevel="0" collapsed="false">
      <c r="A7" s="3" t="s">
        <v>35</v>
      </c>
      <c r="B7" s="3" t="s">
        <v>370</v>
      </c>
      <c r="C7" s="3" t="s">
        <v>371</v>
      </c>
      <c r="D7" s="3" t="s">
        <v>38</v>
      </c>
      <c r="E7" s="3" t="s">
        <v>372</v>
      </c>
      <c r="F7" s="3" t="s">
        <v>373</v>
      </c>
      <c r="G7" s="3" t="s">
        <v>374</v>
      </c>
      <c r="H7" s="3" t="s">
        <v>375</v>
      </c>
    </row>
    <row r="8" customFormat="false" ht="36" hidden="false" customHeight="true" outlineLevel="0" collapsed="false">
      <c r="A8" s="3"/>
      <c r="B8" s="3"/>
      <c r="C8" s="3"/>
      <c r="D8" s="3"/>
      <c r="E8" s="3" t="s">
        <v>376</v>
      </c>
      <c r="F8" s="3" t="s">
        <v>373</v>
      </c>
      <c r="G8" s="3" t="s">
        <v>374</v>
      </c>
      <c r="H8" s="3" t="s">
        <v>377</v>
      </c>
    </row>
    <row r="9" customFormat="false" ht="36" hidden="false" customHeight="true" outlineLevel="0" collapsed="false">
      <c r="A9" s="3"/>
      <c r="B9" s="3"/>
      <c r="C9" s="3"/>
      <c r="D9" s="3"/>
      <c r="E9" s="3" t="s">
        <v>378</v>
      </c>
      <c r="F9" s="3" t="s">
        <v>373</v>
      </c>
      <c r="G9" s="3" t="s">
        <v>379</v>
      </c>
      <c r="H9" s="3" t="s">
        <v>380</v>
      </c>
    </row>
    <row r="10" customFormat="false" ht="36" hidden="false" customHeight="true" outlineLevel="0" collapsed="false">
      <c r="A10" s="3" t="s">
        <v>41</v>
      </c>
      <c r="B10" s="3" t="s">
        <v>370</v>
      </c>
      <c r="C10" s="3" t="s">
        <v>381</v>
      </c>
      <c r="D10" s="3" t="s">
        <v>43</v>
      </c>
      <c r="E10" s="3" t="s">
        <v>382</v>
      </c>
      <c r="F10" s="3" t="s">
        <v>144</v>
      </c>
      <c r="G10" s="3" t="s">
        <v>222</v>
      </c>
      <c r="H10" s="3" t="s">
        <v>197</v>
      </c>
    </row>
    <row r="11" customFormat="false" ht="36" hidden="false" customHeight="true" outlineLevel="0" collapsed="false">
      <c r="A11" s="3" t="s">
        <v>46</v>
      </c>
      <c r="B11" s="3" t="s">
        <v>383</v>
      </c>
      <c r="C11" s="3" t="s">
        <v>384</v>
      </c>
      <c r="D11" s="3" t="s">
        <v>385</v>
      </c>
      <c r="E11" s="3" t="s">
        <v>386</v>
      </c>
      <c r="F11" s="3" t="s">
        <v>141</v>
      </c>
      <c r="G11" s="3" t="s">
        <v>196</v>
      </c>
      <c r="H11" s="3" t="s">
        <v>387</v>
      </c>
    </row>
    <row r="12" customFormat="false" ht="36" hidden="false" customHeight="true" outlineLevel="0" collapsed="false">
      <c r="A12" s="3" t="s">
        <v>50</v>
      </c>
      <c r="B12" s="3" t="s">
        <v>388</v>
      </c>
      <c r="C12" s="3" t="s">
        <v>384</v>
      </c>
      <c r="D12" s="3" t="s">
        <v>389</v>
      </c>
      <c r="E12" s="3" t="s">
        <v>390</v>
      </c>
      <c r="F12" s="3" t="s">
        <v>141</v>
      </c>
      <c r="G12" s="3" t="s">
        <v>196</v>
      </c>
      <c r="H12" s="3" t="s">
        <v>387</v>
      </c>
    </row>
    <row r="13" customFormat="false" ht="36" hidden="false" customHeight="true" outlineLevel="0" collapsed="false">
      <c r="A13" s="3" t="s">
        <v>54</v>
      </c>
      <c r="B13" s="3" t="s">
        <v>391</v>
      </c>
      <c r="C13" s="3" t="s">
        <v>384</v>
      </c>
      <c r="D13" s="3" t="s">
        <v>392</v>
      </c>
      <c r="E13" s="3" t="s">
        <v>393</v>
      </c>
      <c r="F13" s="3" t="s">
        <v>207</v>
      </c>
      <c r="G13" s="3" t="s">
        <v>196</v>
      </c>
      <c r="H13" s="3" t="s">
        <v>394</v>
      </c>
    </row>
    <row r="14" customFormat="false" ht="36" hidden="false" customHeight="true" outlineLevel="0" collapsed="false">
      <c r="A14" s="3" t="s">
        <v>59</v>
      </c>
      <c r="B14" s="3" t="s">
        <v>370</v>
      </c>
      <c r="C14" s="3" t="s">
        <v>395</v>
      </c>
      <c r="D14" s="3" t="s">
        <v>396</v>
      </c>
      <c r="E14" s="3" t="s">
        <v>397</v>
      </c>
      <c r="F14" s="3" t="s">
        <v>373</v>
      </c>
      <c r="G14" s="3" t="s">
        <v>374</v>
      </c>
      <c r="H14" s="3" t="s">
        <v>398</v>
      </c>
    </row>
    <row r="15" customFormat="false" ht="36" hidden="false" customHeight="true" outlineLevel="0" collapsed="false">
      <c r="A15" s="3" t="s">
        <v>62</v>
      </c>
      <c r="B15" s="3" t="s">
        <v>370</v>
      </c>
      <c r="C15" s="3" t="s">
        <v>399</v>
      </c>
      <c r="D15" s="3" t="s">
        <v>400</v>
      </c>
      <c r="E15" s="3" t="s">
        <v>401</v>
      </c>
      <c r="F15" s="3" t="s">
        <v>402</v>
      </c>
      <c r="G15" s="3" t="s">
        <v>139</v>
      </c>
      <c r="H15" s="3" t="s">
        <v>403</v>
      </c>
    </row>
    <row r="16" customFormat="false" ht="36" hidden="false" customHeight="true" outlineLevel="0" collapsed="false">
      <c r="A16" s="3"/>
      <c r="B16" s="3"/>
      <c r="C16" s="3" t="s">
        <v>399</v>
      </c>
      <c r="D16" s="3" t="s">
        <v>404</v>
      </c>
      <c r="E16" s="3" t="s">
        <v>405</v>
      </c>
      <c r="F16" s="3" t="s">
        <v>406</v>
      </c>
      <c r="G16" s="3" t="s">
        <v>407</v>
      </c>
      <c r="H16" s="3" t="s">
        <v>408</v>
      </c>
    </row>
    <row r="17" customFormat="false" ht="36" hidden="false" customHeight="true" outlineLevel="0" collapsed="false">
      <c r="A17" s="3" t="s">
        <v>66</v>
      </c>
      <c r="B17" s="3" t="s">
        <v>370</v>
      </c>
      <c r="C17" s="3" t="s">
        <v>409</v>
      </c>
      <c r="D17" s="3" t="s">
        <v>410</v>
      </c>
      <c r="E17" s="3" t="s">
        <v>411</v>
      </c>
      <c r="F17" s="3" t="s">
        <v>406</v>
      </c>
      <c r="G17" s="3" t="s">
        <v>139</v>
      </c>
      <c r="H17" s="3" t="s">
        <v>412</v>
      </c>
    </row>
    <row r="18" customFormat="false" ht="36" hidden="false" customHeight="true" outlineLevel="0" collapsed="false">
      <c r="A18" s="3" t="s">
        <v>72</v>
      </c>
      <c r="B18" s="3" t="s">
        <v>370</v>
      </c>
      <c r="C18" s="3" t="s">
        <v>413</v>
      </c>
      <c r="D18" s="3" t="s">
        <v>414</v>
      </c>
      <c r="E18" s="3" t="s">
        <v>415</v>
      </c>
      <c r="F18" s="3" t="s">
        <v>416</v>
      </c>
      <c r="G18" s="3" t="s">
        <v>139</v>
      </c>
      <c r="H18" s="3" t="s">
        <v>417</v>
      </c>
    </row>
    <row r="19" customFormat="false" ht="36" hidden="false" customHeight="true" outlineLevel="0" collapsed="false">
      <c r="A19" s="3" t="s">
        <v>76</v>
      </c>
      <c r="B19" s="3" t="s">
        <v>370</v>
      </c>
      <c r="C19" s="3" t="s">
        <v>78</v>
      </c>
      <c r="D19" s="3" t="s">
        <v>418</v>
      </c>
      <c r="E19" s="3" t="s">
        <v>419</v>
      </c>
      <c r="F19" s="3" t="s">
        <v>420</v>
      </c>
      <c r="G19" s="3" t="s">
        <v>421</v>
      </c>
      <c r="H19" s="3" t="s">
        <v>422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7" min="4" style="1" width="10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1" min="11" style="1" width="28"/>
  </cols>
  <sheetData>
    <row r="1" customFormat="false" ht="24" hidden="false" customHeight="true" outlineLevel="0" collapsed="false">
      <c r="A1" s="2" t="s">
        <v>423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4.5" hidden="false" customHeight="true" outlineLevel="0" collapsed="false">
      <c r="A2" s="3"/>
      <c r="B2" s="3" t="s">
        <v>343</v>
      </c>
      <c r="C2" s="3" t="s">
        <v>344</v>
      </c>
      <c r="D2" s="3" t="s">
        <v>345</v>
      </c>
      <c r="E2" s="3"/>
      <c r="F2" s="3"/>
      <c r="G2" s="3" t="s">
        <v>424</v>
      </c>
      <c r="H2" s="3" t="s">
        <v>344</v>
      </c>
      <c r="I2" s="3" t="s">
        <v>345</v>
      </c>
    </row>
    <row r="3" customFormat="false" ht="34.5" hidden="false" customHeight="true" outlineLevel="0" collapsed="false">
      <c r="A3" s="3"/>
      <c r="B3" s="3" t="s">
        <v>317</v>
      </c>
      <c r="C3" s="3" t="s">
        <v>344</v>
      </c>
      <c r="D3" s="3" t="s">
        <v>345</v>
      </c>
      <c r="E3" s="3"/>
      <c r="F3" s="3"/>
      <c r="G3" s="3" t="s">
        <v>425</v>
      </c>
      <c r="H3" s="3" t="s">
        <v>344</v>
      </c>
      <c r="I3" s="3" t="s">
        <v>345</v>
      </c>
    </row>
    <row r="4" customFormat="false" ht="34.5" hidden="false" customHeight="true" outlineLevel="0" collapsed="false">
      <c r="A4" s="3"/>
      <c r="B4" s="3" t="s">
        <v>426</v>
      </c>
      <c r="C4" s="3" t="s">
        <v>344</v>
      </c>
      <c r="D4" s="3" t="s">
        <v>345</v>
      </c>
      <c r="E4" s="3"/>
      <c r="F4" s="3"/>
      <c r="G4" s="3" t="s">
        <v>427</v>
      </c>
      <c r="H4" s="3" t="s">
        <v>344</v>
      </c>
      <c r="I4" s="3" t="s">
        <v>345</v>
      </c>
    </row>
    <row r="6" customFormat="false" ht="15" hidden="false" customHeight="true" outlineLevel="0" collapsed="false">
      <c r="A6" s="4" t="s">
        <v>428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customFormat="false" ht="23.25" hidden="false" customHeight="true" outlineLevel="0" collapsed="false">
      <c r="A7" s="5" t="s">
        <v>29</v>
      </c>
      <c r="B7" s="5" t="s">
        <v>348</v>
      </c>
      <c r="C7" s="5" t="s">
        <v>349</v>
      </c>
      <c r="D7" s="5" t="s">
        <v>429</v>
      </c>
      <c r="E7" s="5" t="s">
        <v>430</v>
      </c>
      <c r="F7" s="5" t="s">
        <v>431</v>
      </c>
    </row>
    <row r="8" customFormat="false" ht="45.75" hidden="false" customHeight="true" outlineLevel="0" collapsed="false">
      <c r="A8" s="3" t="s">
        <v>35</v>
      </c>
      <c r="B8" s="3" t="s">
        <v>432</v>
      </c>
      <c r="C8" s="3" t="s">
        <v>433</v>
      </c>
      <c r="D8" s="26"/>
      <c r="E8" s="26"/>
      <c r="F8" s="26"/>
    </row>
    <row r="9" customFormat="false" ht="34.5" hidden="false" customHeight="true" outlineLevel="0" collapsed="false">
      <c r="A9" s="3" t="s">
        <v>41</v>
      </c>
      <c r="B9" s="3" t="s">
        <v>434</v>
      </c>
      <c r="C9" s="3" t="s">
        <v>435</v>
      </c>
      <c r="D9" s="26"/>
      <c r="E9" s="26"/>
      <c r="F9" s="26"/>
    </row>
    <row r="10" customFormat="false" ht="34.5" hidden="false" customHeight="true" outlineLevel="0" collapsed="false">
      <c r="A10" s="3" t="s">
        <v>46</v>
      </c>
      <c r="B10" s="3" t="s">
        <v>436</v>
      </c>
      <c r="C10" s="3" t="s">
        <v>437</v>
      </c>
      <c r="D10" s="26"/>
      <c r="E10" s="26"/>
      <c r="F10" s="26"/>
    </row>
    <row r="11" customFormat="false" ht="45.75" hidden="false" customHeight="true" outlineLevel="0" collapsed="false">
      <c r="A11" s="3" t="s">
        <v>50</v>
      </c>
      <c r="B11" s="3" t="s">
        <v>438</v>
      </c>
      <c r="C11" s="3" t="s">
        <v>439</v>
      </c>
      <c r="D11" s="26"/>
      <c r="E11" s="26"/>
      <c r="F11" s="26"/>
    </row>
    <row r="12" customFormat="false" ht="34.5" hidden="false" customHeight="true" outlineLevel="0" collapsed="false">
      <c r="A12" s="3" t="s">
        <v>54</v>
      </c>
      <c r="B12" s="3" t="s">
        <v>440</v>
      </c>
      <c r="C12" s="3" t="s">
        <v>441</v>
      </c>
      <c r="D12" s="26"/>
      <c r="E12" s="26"/>
      <c r="F12" s="26"/>
    </row>
    <row r="13" customFormat="false" ht="34.5" hidden="false" customHeight="true" outlineLevel="0" collapsed="false">
      <c r="A13" s="3" t="s">
        <v>59</v>
      </c>
      <c r="B13" s="3" t="s">
        <v>442</v>
      </c>
      <c r="C13" s="3" t="s">
        <v>443</v>
      </c>
      <c r="D13" s="26"/>
      <c r="E13" s="26"/>
      <c r="F13" s="26"/>
    </row>
    <row r="14" customFormat="false" ht="15" hidden="false" customHeight="true" outlineLevel="0" collapsed="false">
      <c r="A14" s="6"/>
      <c r="B14" s="6"/>
      <c r="C14" s="6" t="s">
        <v>444</v>
      </c>
      <c r="D14" s="33" t="n">
        <f aca="false">SUM(D8:D13)</f>
        <v>0</v>
      </c>
      <c r="E14" s="33" t="n">
        <f aca="false">SUM(E8:E13)</f>
        <v>0</v>
      </c>
      <c r="F14" s="33" t="n">
        <f aca="false">SUM(F8:F13)</f>
        <v>0</v>
      </c>
    </row>
    <row r="16" customFormat="false" ht="15" hidden="false" customHeight="true" outlineLevel="0" collapsed="false">
      <c r="A16" s="4" t="s">
        <v>445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customFormat="false" ht="23.25" hidden="false" customHeight="true" outlineLevel="0" collapsed="false">
      <c r="A17" s="5" t="s">
        <v>446</v>
      </c>
      <c r="B17" s="5" t="s">
        <v>362</v>
      </c>
      <c r="C17" s="5" t="s">
        <v>447</v>
      </c>
      <c r="D17" s="5"/>
      <c r="E17" s="5"/>
      <c r="F17" s="5"/>
      <c r="G17" s="5"/>
      <c r="H17" s="5"/>
      <c r="I17" s="5"/>
      <c r="J17" s="5"/>
      <c r="K17" s="5"/>
    </row>
    <row r="18" customFormat="false" ht="34.5" hidden="false" customHeight="true" outlineLevel="0" collapsed="false">
      <c r="A18" s="3" t="s">
        <v>448</v>
      </c>
      <c r="B18" s="3" t="n">
        <f aca="false">D14</f>
        <v>0</v>
      </c>
      <c r="C18" s="3" t="str">
        <f aca="false">IF(D14&gt;=24,"Baik - Lanjutkan Program Onboarding",IF(D14&gt;=18,"Cukup - Perlu Pendampingan Tambahan","Kurang - Pertimbangkan Perpanjangan Evaluasi"))</f>
        <v>Kurang - Pertimbangkan Perpanjangan Evaluasi</v>
      </c>
      <c r="D18" s="3"/>
      <c r="E18" s="3"/>
      <c r="F18" s="3"/>
      <c r="G18" s="3"/>
      <c r="H18" s="3"/>
      <c r="I18" s="3"/>
      <c r="J18" s="3"/>
      <c r="K18" s="3"/>
    </row>
    <row r="19" customFormat="false" ht="34.5" hidden="false" customHeight="true" outlineLevel="0" collapsed="false">
      <c r="A19" s="3" t="s">
        <v>449</v>
      </c>
      <c r="B19" s="3" t="n">
        <f aca="false">E14</f>
        <v>0</v>
      </c>
      <c r="C19" s="3" t="str">
        <f aca="false">IF(E14&gt;=24,"Baik - Lanjutkan Program Onboarding",IF(E14&gt;=18,"Cukup - Perlu Pendampingan Tambahan","Kurang - Pertimbangkan Perpanjangan Evaluasi"))</f>
        <v>Kurang - Pertimbangkan Perpanjangan Evaluasi</v>
      </c>
      <c r="D19" s="3"/>
      <c r="E19" s="3"/>
      <c r="F19" s="3"/>
      <c r="G19" s="3"/>
      <c r="H19" s="3"/>
      <c r="I19" s="3"/>
      <c r="J19" s="3"/>
      <c r="K19" s="3"/>
    </row>
    <row r="20" customFormat="false" ht="57" hidden="false" customHeight="true" outlineLevel="0" collapsed="false">
      <c r="A20" s="3" t="s">
        <v>450</v>
      </c>
      <c r="B20" s="3" t="n">
        <f aca="false">F14</f>
        <v>0</v>
      </c>
      <c r="C20" s="3" t="str">
        <f aca="false">IF(F14&gt;=24,"DIANGKAT MENJADI KARYAWAN TETAP",IF(F14&gt;=18,"PERPANJANG MASA PROBATION 1 BULAN","TIDAK DILANJUTKAN / KONTRAK TIDAK DIPERPANJANG"))</f>
        <v>TIDAK DILANJUTKAN / KONTRAK TIDAK DIPERPANJANG</v>
      </c>
      <c r="D20" s="3"/>
      <c r="E20" s="3"/>
      <c r="F20" s="3"/>
      <c r="G20" s="3"/>
      <c r="H20" s="3"/>
      <c r="I20" s="3"/>
      <c r="J20" s="3"/>
      <c r="K20" s="3"/>
    </row>
    <row r="22" customFormat="false" ht="157.5" hidden="false" customHeight="true" outlineLevel="0" collapsed="false">
      <c r="A22" s="3"/>
      <c r="B22" s="25" t="s">
        <v>451</v>
      </c>
    </row>
    <row r="24" customFormat="false" ht="79.5" hidden="false" customHeight="true" outlineLevel="0" collapsed="false">
      <c r="A24" s="34"/>
      <c r="B24" s="34" t="s">
        <v>452</v>
      </c>
    </row>
    <row r="25" customFormat="false" ht="15" hidden="false" customHeight="true" outlineLevel="0" collapsed="false">
      <c r="B25" s="35"/>
      <c r="C25" s="35"/>
      <c r="D25" s="35"/>
      <c r="E25" s="35"/>
      <c r="F25" s="35"/>
      <c r="G25" s="35"/>
      <c r="H25" s="35"/>
      <c r="I25" s="35"/>
      <c r="J25" s="35"/>
      <c r="K25" s="35"/>
    </row>
    <row r="26" customFormat="false" ht="15" hidden="false" customHeight="true" outlineLevel="0" collapsed="false">
      <c r="B26" s="35"/>
      <c r="C26" s="35"/>
      <c r="D26" s="35"/>
      <c r="E26" s="35"/>
      <c r="F26" s="35"/>
      <c r="G26" s="35"/>
      <c r="H26" s="35"/>
      <c r="I26" s="35"/>
      <c r="J26" s="35"/>
      <c r="K26" s="35"/>
    </row>
    <row r="27" customFormat="false" ht="15" hidden="false" customHeight="true" outlineLevel="0" collapsed="false">
      <c r="B27" s="35"/>
      <c r="C27" s="35"/>
      <c r="D27" s="35"/>
      <c r="E27" s="35"/>
      <c r="F27" s="35"/>
      <c r="G27" s="35"/>
      <c r="H27" s="35"/>
      <c r="I27" s="35"/>
      <c r="J27" s="35"/>
      <c r="K27" s="35"/>
    </row>
    <row r="28" customFormat="false" ht="15" hidden="false" customHeight="true" outlineLevel="0" collapsed="false">
      <c r="B28" s="35"/>
      <c r="C28" s="35"/>
      <c r="D28" s="35"/>
      <c r="E28" s="35"/>
      <c r="F28" s="35"/>
      <c r="G28" s="35"/>
      <c r="H28" s="35"/>
      <c r="I28" s="35"/>
      <c r="J28" s="35"/>
      <c r="K28" s="35"/>
    </row>
  </sheetData>
  <mergeCells count="8">
    <mergeCell ref="A1:K1"/>
    <mergeCell ref="A6:K6"/>
    <mergeCell ref="A16:K16"/>
    <mergeCell ref="C17:K17"/>
    <mergeCell ref="C18:K18"/>
    <mergeCell ref="C19:K19"/>
    <mergeCell ref="C20:K20"/>
    <mergeCell ref="B25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22"/>
    <col collapsed="false" customWidth="true" hidden="false" outlineLevel="0" max="5" min="4" style="1" width="10"/>
    <col collapsed="false" customWidth="true" hidden="false" outlineLevel="0" max="17" min="6" style="1" width="5"/>
  </cols>
  <sheetData>
    <row r="1" customFormat="false" ht="36" hidden="false" customHeight="true" outlineLevel="0" collapsed="false">
      <c r="A1" s="2" t="s">
        <v>453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true" outlineLevel="0" collapsed="false">
      <c r="A2" s="5" t="s">
        <v>29</v>
      </c>
      <c r="B2" s="5" t="s">
        <v>110</v>
      </c>
      <c r="C2" s="5" t="s">
        <v>111</v>
      </c>
      <c r="D2" s="5" t="s">
        <v>112</v>
      </c>
      <c r="E2" s="5" t="s">
        <v>113</v>
      </c>
      <c r="F2" s="5" t="s">
        <v>454</v>
      </c>
      <c r="G2" s="5" t="s">
        <v>455</v>
      </c>
      <c r="H2" s="5" t="s">
        <v>456</v>
      </c>
      <c r="I2" s="5" t="s">
        <v>457</v>
      </c>
      <c r="J2" s="5" t="s">
        <v>458</v>
      </c>
      <c r="K2" s="5" t="s">
        <v>459</v>
      </c>
      <c r="L2" s="5" t="s">
        <v>460</v>
      </c>
      <c r="M2" s="5" t="s">
        <v>461</v>
      </c>
      <c r="N2" s="5" t="s">
        <v>462</v>
      </c>
      <c r="O2" s="5" t="s">
        <v>463</v>
      </c>
      <c r="P2" s="5" t="s">
        <v>464</v>
      </c>
      <c r="Q2" s="5" t="s">
        <v>465</v>
      </c>
    </row>
    <row r="3" customFormat="false" ht="30" hidden="false" customHeight="true" outlineLevel="0" collapsed="false">
      <c r="A3" s="3" t="s">
        <v>35</v>
      </c>
      <c r="B3" s="3" t="s">
        <v>466</v>
      </c>
      <c r="C3" s="3" t="s">
        <v>373</v>
      </c>
      <c r="D3" s="3" t="s">
        <v>467</v>
      </c>
      <c r="E3" s="3" t="s">
        <v>129</v>
      </c>
      <c r="F3" s="2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30" hidden="false" customHeight="true" outlineLevel="0" collapsed="false">
      <c r="A4" s="3" t="s">
        <v>41</v>
      </c>
      <c r="B4" s="3" t="s">
        <v>468</v>
      </c>
      <c r="C4" s="3" t="s">
        <v>406</v>
      </c>
      <c r="D4" s="3" t="s">
        <v>469</v>
      </c>
      <c r="E4" s="3" t="s">
        <v>129</v>
      </c>
      <c r="F4" s="23"/>
      <c r="G4" s="23"/>
      <c r="H4" s="23"/>
      <c r="I4" s="23"/>
      <c r="J4" s="22"/>
      <c r="K4" s="22"/>
      <c r="L4" s="22"/>
      <c r="M4" s="22"/>
      <c r="N4" s="22"/>
      <c r="O4" s="22"/>
      <c r="P4" s="22"/>
      <c r="Q4" s="22"/>
    </row>
    <row r="5" customFormat="false" ht="30" hidden="false" customHeight="true" outlineLevel="0" collapsed="false">
      <c r="A5" s="3" t="s">
        <v>46</v>
      </c>
      <c r="B5" s="3" t="s">
        <v>470</v>
      </c>
      <c r="C5" s="3" t="s">
        <v>141</v>
      </c>
      <c r="D5" s="3" t="s">
        <v>421</v>
      </c>
      <c r="E5" s="3" t="s">
        <v>129</v>
      </c>
      <c r="F5" s="22"/>
      <c r="G5" s="22"/>
      <c r="H5" s="22"/>
      <c r="I5" s="24"/>
      <c r="J5" s="22"/>
      <c r="K5" s="22"/>
      <c r="L5" s="22"/>
      <c r="M5" s="22"/>
      <c r="N5" s="22"/>
      <c r="O5" s="22"/>
      <c r="P5" s="22"/>
      <c r="Q5" s="22"/>
    </row>
    <row r="6" customFormat="false" ht="30" hidden="false" customHeight="true" outlineLevel="0" collapsed="false">
      <c r="A6" s="3" t="s">
        <v>50</v>
      </c>
      <c r="B6" s="3" t="s">
        <v>471</v>
      </c>
      <c r="C6" s="3" t="s">
        <v>406</v>
      </c>
      <c r="D6" s="3" t="s">
        <v>469</v>
      </c>
      <c r="E6" s="3" t="s">
        <v>129</v>
      </c>
      <c r="F6" s="22"/>
      <c r="G6" s="22"/>
      <c r="H6" s="22"/>
      <c r="I6" s="22"/>
      <c r="J6" s="21"/>
      <c r="K6" s="21"/>
      <c r="L6" s="21"/>
      <c r="M6" s="21"/>
      <c r="N6" s="22"/>
      <c r="O6" s="22"/>
      <c r="P6" s="22"/>
      <c r="Q6" s="22"/>
    </row>
    <row r="7" customFormat="false" ht="30" hidden="false" customHeight="true" outlineLevel="0" collapsed="false">
      <c r="A7" s="3" t="s">
        <v>54</v>
      </c>
      <c r="B7" s="3" t="s">
        <v>472</v>
      </c>
      <c r="C7" s="3" t="s">
        <v>141</v>
      </c>
      <c r="D7" s="3" t="s">
        <v>421</v>
      </c>
      <c r="E7" s="3" t="s">
        <v>129</v>
      </c>
      <c r="F7" s="22"/>
      <c r="G7" s="22"/>
      <c r="H7" s="22"/>
      <c r="I7" s="22"/>
      <c r="J7" s="22"/>
      <c r="K7" s="22"/>
      <c r="L7" s="22"/>
      <c r="M7" s="23"/>
      <c r="N7" s="22"/>
      <c r="O7" s="22"/>
      <c r="P7" s="22"/>
      <c r="Q7" s="22"/>
    </row>
    <row r="8" customFormat="false" ht="30" hidden="false" customHeight="true" outlineLevel="0" collapsed="false">
      <c r="A8" s="3" t="s">
        <v>59</v>
      </c>
      <c r="B8" s="3" t="s">
        <v>473</v>
      </c>
      <c r="C8" s="3" t="s">
        <v>141</v>
      </c>
      <c r="D8" s="3" t="s">
        <v>469</v>
      </c>
      <c r="E8" s="3" t="s">
        <v>129</v>
      </c>
      <c r="F8" s="22"/>
      <c r="G8" s="22"/>
      <c r="H8" s="22"/>
      <c r="I8" s="22"/>
      <c r="J8" s="22"/>
      <c r="K8" s="22"/>
      <c r="L8" s="22"/>
      <c r="M8" s="22"/>
      <c r="N8" s="24"/>
      <c r="O8" s="24"/>
      <c r="P8" s="24"/>
      <c r="Q8" s="24"/>
    </row>
    <row r="9" customFormat="false" ht="30" hidden="false" customHeight="true" outlineLevel="0" collapsed="false">
      <c r="A9" s="3" t="s">
        <v>62</v>
      </c>
      <c r="B9" s="3" t="s">
        <v>474</v>
      </c>
      <c r="C9" s="3" t="s">
        <v>420</v>
      </c>
      <c r="D9" s="3" t="s">
        <v>421</v>
      </c>
      <c r="E9" s="3" t="s">
        <v>129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1"/>
    </row>
    <row r="11" customFormat="false" ht="42.75" hidden="false" customHeight="true" outlineLevel="0" collapsed="false">
      <c r="A11" s="3"/>
      <c r="B11" s="25" t="s">
        <v>475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4"/>
  </cols>
  <sheetData>
    <row r="1" customFormat="false" ht="24" hidden="false" customHeight="true" outlineLevel="0" collapsed="false">
      <c r="A1" s="2" t="s">
        <v>476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39.75" hidden="false" customHeight="true" outlineLevel="0" collapsed="false">
      <c r="E3" s="7" t="s">
        <v>477</v>
      </c>
      <c r="F3" s="7"/>
      <c r="G3" s="7"/>
      <c r="H3" s="7"/>
    </row>
    <row r="4" customFormat="false" ht="39.75" hidden="false" customHeight="true" outlineLevel="0" collapsed="false">
      <c r="F4" s="8" t="s">
        <v>83</v>
      </c>
    </row>
    <row r="5" customFormat="false" ht="39.75" hidden="false" customHeight="true" outlineLevel="0" collapsed="false">
      <c r="E5" s="9" t="s">
        <v>478</v>
      </c>
      <c r="F5" s="9"/>
      <c r="G5" s="9"/>
      <c r="H5" s="9"/>
    </row>
    <row r="6" customFormat="false" ht="39.75" hidden="false" customHeight="true" outlineLevel="0" collapsed="false">
      <c r="F6" s="8" t="s">
        <v>83</v>
      </c>
    </row>
    <row r="7" customFormat="false" ht="39.75" hidden="false" customHeight="true" outlineLevel="0" collapsed="false">
      <c r="E7" s="9" t="s">
        <v>479</v>
      </c>
      <c r="F7" s="9"/>
      <c r="G7" s="9"/>
      <c r="H7" s="9"/>
    </row>
    <row r="8" customFormat="false" ht="39.75" hidden="false" customHeight="true" outlineLevel="0" collapsed="false">
      <c r="F8" s="8" t="s">
        <v>83</v>
      </c>
    </row>
    <row r="9" customFormat="false" ht="39.75" hidden="false" customHeight="true" outlineLevel="0" collapsed="false">
      <c r="D9" s="10" t="s">
        <v>480</v>
      </c>
      <c r="E9" s="11" t="s">
        <v>481</v>
      </c>
      <c r="F9" s="11"/>
      <c r="G9" s="11"/>
      <c r="H9" s="11"/>
      <c r="I9" s="10" t="s">
        <v>482</v>
      </c>
    </row>
    <row r="10" customFormat="false" ht="39.75" hidden="false" customHeight="true" outlineLevel="0" collapsed="false">
      <c r="E10" s="11"/>
      <c r="F10" s="11"/>
      <c r="G10" s="11"/>
      <c r="H10" s="11"/>
    </row>
    <row r="11" customFormat="false" ht="39.75" hidden="false" customHeight="true" outlineLevel="0" collapsed="false">
      <c r="F11" s="8" t="s">
        <v>83</v>
      </c>
    </row>
    <row r="12" customFormat="false" ht="39.75" hidden="false" customHeight="true" outlineLevel="0" collapsed="false">
      <c r="A12" s="12" t="s">
        <v>483</v>
      </c>
      <c r="B12" s="12"/>
      <c r="C12" s="12"/>
      <c r="E12" s="13" t="s">
        <v>484</v>
      </c>
      <c r="F12" s="13"/>
      <c r="G12" s="13"/>
      <c r="H12" s="13"/>
    </row>
    <row r="13" customFormat="false" ht="39.75" hidden="false" customHeight="true" outlineLevel="0" collapsed="false">
      <c r="F13" s="8" t="s">
        <v>83</v>
      </c>
    </row>
    <row r="14" customFormat="false" ht="39.75" hidden="false" customHeight="true" outlineLevel="0" collapsed="false">
      <c r="E14" s="9" t="s">
        <v>485</v>
      </c>
      <c r="F14" s="9"/>
      <c r="G14" s="9"/>
      <c r="H14" s="9"/>
    </row>
    <row r="15" customFormat="false" ht="39.75" hidden="false" customHeight="true" outlineLevel="0" collapsed="false">
      <c r="F15" s="8" t="s">
        <v>83</v>
      </c>
    </row>
    <row r="16" customFormat="false" ht="39.75" hidden="false" customHeight="true" outlineLevel="0" collapsed="false">
      <c r="D16" s="10" t="s">
        <v>480</v>
      </c>
      <c r="E16" s="11" t="s">
        <v>486</v>
      </c>
      <c r="F16" s="11"/>
      <c r="G16" s="11"/>
      <c r="H16" s="11"/>
      <c r="I16" s="10" t="s">
        <v>482</v>
      </c>
    </row>
    <row r="17" customFormat="false" ht="39.75" hidden="false" customHeight="true" outlineLevel="0" collapsed="false">
      <c r="E17" s="11"/>
      <c r="F17" s="11"/>
      <c r="G17" s="11"/>
      <c r="H17" s="11"/>
    </row>
    <row r="18" customFormat="false" ht="39.75" hidden="false" customHeight="true" outlineLevel="0" collapsed="false">
      <c r="F18" s="8" t="s">
        <v>83</v>
      </c>
    </row>
    <row r="19" customFormat="false" ht="39.75" hidden="false" customHeight="true" outlineLevel="0" collapsed="false">
      <c r="A19" s="12" t="s">
        <v>487</v>
      </c>
      <c r="B19" s="12"/>
      <c r="C19" s="12"/>
      <c r="E19" s="13" t="s">
        <v>488</v>
      </c>
      <c r="F19" s="13"/>
      <c r="G19" s="13"/>
      <c r="H19" s="13"/>
    </row>
    <row r="20" customFormat="false" ht="39.75" hidden="false" customHeight="true" outlineLevel="0" collapsed="false">
      <c r="F20" s="8" t="s">
        <v>83</v>
      </c>
    </row>
    <row r="21" customFormat="false" ht="39.75" hidden="false" customHeight="true" outlineLevel="0" collapsed="false">
      <c r="E21" s="9" t="s">
        <v>489</v>
      </c>
      <c r="F21" s="9"/>
      <c r="G21" s="9"/>
      <c r="H21" s="9"/>
    </row>
    <row r="22" customFormat="false" ht="39.75" hidden="false" customHeight="true" outlineLevel="0" collapsed="false">
      <c r="F22" s="8" t="s">
        <v>83</v>
      </c>
    </row>
    <row r="23" customFormat="false" ht="39.75" hidden="false" customHeight="true" outlineLevel="0" collapsed="false">
      <c r="E23" s="36" t="s">
        <v>490</v>
      </c>
      <c r="F23" s="36"/>
      <c r="G23" s="36"/>
      <c r="H23" s="36"/>
      <c r="I23" s="10" t="s">
        <v>491</v>
      </c>
    </row>
    <row r="24" customFormat="false" ht="39.75" hidden="false" customHeight="true" outlineLevel="0" collapsed="false">
      <c r="E24" s="36"/>
      <c r="F24" s="36"/>
      <c r="G24" s="36"/>
      <c r="H24" s="36"/>
    </row>
    <row r="25" customFormat="false" ht="39.75" hidden="false" customHeight="true" outlineLevel="0" collapsed="false">
      <c r="F25" s="8" t="s">
        <v>83</v>
      </c>
    </row>
    <row r="26" customFormat="false" ht="39.75" hidden="false" customHeight="true" outlineLevel="0" collapsed="false">
      <c r="A26" s="13" t="s">
        <v>492</v>
      </c>
      <c r="B26" s="13"/>
      <c r="C26" s="13"/>
      <c r="D26" s="13"/>
      <c r="F26" s="11" t="s">
        <v>493</v>
      </c>
      <c r="G26" s="11"/>
      <c r="H26" s="11"/>
      <c r="J26" s="12" t="s">
        <v>494</v>
      </c>
      <c r="K26" s="12"/>
      <c r="L26" s="12"/>
      <c r="M26" s="12"/>
    </row>
    <row r="27" customFormat="false" ht="39.75" hidden="false" customHeight="true" outlineLevel="0" collapsed="false"/>
    <row r="28" customFormat="false" ht="39.75" hidden="false" customHeight="true" outlineLevel="0" collapsed="false"/>
    <row r="29" customFormat="false" ht="39.75" hidden="false" customHeight="true" outlineLevel="0" collapsed="false">
      <c r="A29" s="16" t="s">
        <v>104</v>
      </c>
      <c r="B29" s="16"/>
      <c r="D29" s="17" t="s">
        <v>105</v>
      </c>
      <c r="E29" s="17"/>
      <c r="G29" s="18" t="s">
        <v>495</v>
      </c>
      <c r="H29" s="18"/>
      <c r="J29" s="19" t="s">
        <v>496</v>
      </c>
      <c r="K29" s="19"/>
      <c r="M29" s="20" t="s">
        <v>497</v>
      </c>
      <c r="N29" s="20"/>
    </row>
    <row r="30" customFormat="false" ht="39.75" hidden="false" customHeight="true" outlineLevel="0" collapsed="false"/>
  </sheetData>
  <mergeCells count="21">
    <mergeCell ref="A1:N1"/>
    <mergeCell ref="E3:H3"/>
    <mergeCell ref="E5:H5"/>
    <mergeCell ref="E7:H7"/>
    <mergeCell ref="E9:H10"/>
    <mergeCell ref="A12:C12"/>
    <mergeCell ref="E12:H12"/>
    <mergeCell ref="E14:H14"/>
    <mergeCell ref="E16:H17"/>
    <mergeCell ref="A19:C19"/>
    <mergeCell ref="E19:H19"/>
    <mergeCell ref="E21:H21"/>
    <mergeCell ref="E23:H24"/>
    <mergeCell ref="A26:D26"/>
    <mergeCell ref="F26:H26"/>
    <mergeCell ref="J26:M26"/>
    <mergeCell ref="A29:B29"/>
    <mergeCell ref="D29:E29"/>
    <mergeCell ref="G29:H29"/>
    <mergeCell ref="J29:K29"/>
    <mergeCell ref="M29:N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0"/>
    <col collapsed="false" customWidth="true" hidden="false" outlineLevel="0" max="3" min="3" style="1" width="2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40"/>
  </cols>
  <sheetData>
    <row r="1" customFormat="false" ht="30" hidden="false" customHeight="true" outlineLevel="0" collapsed="false">
      <c r="A1" s="2" t="s">
        <v>498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5" t="s">
        <v>260</v>
      </c>
      <c r="B2" s="5" t="s">
        <v>261</v>
      </c>
      <c r="C2" s="5"/>
      <c r="D2" s="5" t="s">
        <v>262</v>
      </c>
      <c r="E2" s="5" t="s">
        <v>263</v>
      </c>
      <c r="F2" s="5" t="s">
        <v>264</v>
      </c>
      <c r="G2" s="5" t="s">
        <v>20</v>
      </c>
    </row>
    <row r="3" customFormat="false" ht="15" hidden="false" customHeight="true" outlineLevel="0" collapsed="false">
      <c r="A3" s="3" t="s">
        <v>499</v>
      </c>
      <c r="B3" s="3" t="s">
        <v>500</v>
      </c>
      <c r="C3" s="3"/>
      <c r="D3" s="3" t="n">
        <v>11</v>
      </c>
      <c r="E3" s="27" t="n">
        <v>50000</v>
      </c>
      <c r="F3" s="27" t="n">
        <f aca="false">D3*E3</f>
        <v>550000</v>
      </c>
      <c r="G3" s="3" t="s">
        <v>501</v>
      </c>
    </row>
    <row r="4" customFormat="false" ht="15" hidden="false" customHeight="true" outlineLevel="0" collapsed="false">
      <c r="A4" s="3" t="s">
        <v>502</v>
      </c>
      <c r="B4" s="3" t="s">
        <v>277</v>
      </c>
      <c r="C4" s="3"/>
      <c r="D4" s="3" t="n">
        <v>11</v>
      </c>
      <c r="E4" s="27" t="n">
        <v>30000</v>
      </c>
      <c r="F4" s="27" t="n">
        <f aca="false">D4*E4</f>
        <v>330000</v>
      </c>
      <c r="G4" s="3" t="s">
        <v>503</v>
      </c>
    </row>
    <row r="5" customFormat="false" ht="15" hidden="false" customHeight="true" outlineLevel="0" collapsed="false">
      <c r="A5" s="3" t="s">
        <v>504</v>
      </c>
      <c r="B5" s="3" t="s">
        <v>277</v>
      </c>
      <c r="C5" s="3"/>
      <c r="D5" s="3" t="n">
        <v>11</v>
      </c>
      <c r="E5" s="27" t="n">
        <v>200000</v>
      </c>
      <c r="F5" s="27" t="n">
        <f aca="false">D5*E5</f>
        <v>2200000</v>
      </c>
      <c r="G5" s="3" t="s">
        <v>505</v>
      </c>
    </row>
    <row r="6" customFormat="false" ht="23.25" hidden="false" customHeight="true" outlineLevel="0" collapsed="false">
      <c r="A6" s="3" t="s">
        <v>506</v>
      </c>
      <c r="B6" s="3" t="s">
        <v>277</v>
      </c>
      <c r="C6" s="3"/>
      <c r="D6" s="3" t="n">
        <v>6</v>
      </c>
      <c r="E6" s="27" t="n">
        <v>150000</v>
      </c>
      <c r="F6" s="27" t="n">
        <f aca="false">D6*E6</f>
        <v>900000</v>
      </c>
      <c r="G6" s="3" t="s">
        <v>507</v>
      </c>
    </row>
    <row r="7" customFormat="false" ht="15" hidden="false" customHeight="true" outlineLevel="0" collapsed="false">
      <c r="A7" s="3" t="s">
        <v>508</v>
      </c>
      <c r="B7" s="3" t="s">
        <v>277</v>
      </c>
      <c r="C7" s="3"/>
      <c r="D7" s="3" t="n">
        <v>11</v>
      </c>
      <c r="E7" s="27" t="n">
        <v>25000</v>
      </c>
      <c r="F7" s="27" t="n">
        <f aca="false">D7*E7</f>
        <v>275000</v>
      </c>
      <c r="G7" s="3" t="s">
        <v>509</v>
      </c>
    </row>
    <row r="8" customFormat="false" ht="23.25" hidden="false" customHeight="true" outlineLevel="0" collapsed="false">
      <c r="A8" s="3" t="s">
        <v>510</v>
      </c>
      <c r="B8" s="3" t="s">
        <v>511</v>
      </c>
      <c r="C8" s="3"/>
      <c r="D8" s="3" t="n">
        <v>1</v>
      </c>
      <c r="E8" s="27" t="n">
        <v>300000</v>
      </c>
      <c r="F8" s="27" t="n">
        <f aca="false">D8*E8</f>
        <v>300000</v>
      </c>
      <c r="G8" s="3" t="s">
        <v>512</v>
      </c>
    </row>
    <row r="9" customFormat="false" ht="23.25" hidden="false" customHeight="true" outlineLevel="0" collapsed="false">
      <c r="A9" s="3" t="s">
        <v>513</v>
      </c>
      <c r="B9" s="3" t="s">
        <v>514</v>
      </c>
      <c r="C9" s="3"/>
      <c r="D9" s="3" t="n">
        <v>11</v>
      </c>
      <c r="E9" s="27" t="n">
        <v>150000</v>
      </c>
      <c r="F9" s="27" t="n">
        <f aca="false">D9*E9</f>
        <v>1650000</v>
      </c>
      <c r="G9" s="3" t="s">
        <v>515</v>
      </c>
    </row>
    <row r="10" customFormat="false" ht="23.25" hidden="false" customHeight="true" outlineLevel="0" collapsed="false">
      <c r="A10" s="6" t="s">
        <v>516</v>
      </c>
      <c r="B10" s="6"/>
      <c r="C10" s="6"/>
      <c r="D10" s="6"/>
      <c r="E10" s="28"/>
      <c r="F10" s="28" t="n">
        <f aca="false">SUM(F3:F9)</f>
        <v>6205000</v>
      </c>
      <c r="G10" s="6"/>
    </row>
    <row r="12" customFormat="false" ht="157.5" hidden="false" customHeight="true" outlineLevel="0" collapsed="false">
      <c r="A12" s="3"/>
      <c r="B12" s="25" t="s">
        <v>517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2026-06-12T23:06:22Z</dcterms:created>
  <dc:creator>openpyxl</dc:creator>
  <dc:description/>
  <dc:language>en-US</dc:language>
  <cp:lastModifiedBy/>
  <dcterms:modified xsi:type="dcterms:W3CDTF">2026-06-13T12:13:16Z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