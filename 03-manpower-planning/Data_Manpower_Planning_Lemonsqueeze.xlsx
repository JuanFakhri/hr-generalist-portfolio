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50" windowWidth="18880" windowHeight="8740"/>
  </bookViews>
  <sheets>
    <sheet name="TEMPLATE" sheetId="4" r:id="rId1"/>
    <sheet name="Referensi" sheetId="5" r:id="rId2"/>
  </sheets>
  <calcPr calcId="145621"/>
</workbook>
</file>

<file path=xl/calcChain.xml><?xml version="1.0" encoding="utf-8"?>
<calcChain xmlns="http://schemas.openxmlformats.org/spreadsheetml/2006/main">
  <c r="J16" i="4" l="1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17" i="4" s="1"/>
</calcChain>
</file>

<file path=xl/sharedStrings.xml><?xml version="1.0" encoding="utf-8"?>
<sst xmlns="http://schemas.openxmlformats.org/spreadsheetml/2006/main" count="307" uniqueCount="220">
  <si>
    <t>Posisi</t>
  </si>
  <si>
    <t>Priority</t>
  </si>
  <si>
    <t>Kuartal</t>
  </si>
  <si>
    <t>Total HC</t>
  </si>
  <si>
    <t>CEO</t>
  </si>
  <si>
    <t>High</t>
  </si>
  <si>
    <t>Head of Marketing</t>
  </si>
  <si>
    <t>Medium</t>
  </si>
  <si>
    <t>Graphic Designer</t>
  </si>
  <si>
    <t>Low</t>
  </si>
  <si>
    <t>Social Media Specialist</t>
  </si>
  <si>
    <t>Finance</t>
  </si>
  <si>
    <t>HR Manager</t>
  </si>
  <si>
    <t>Sales Executive</t>
  </si>
  <si>
    <t>Marketplace Specialist</t>
  </si>
  <si>
    <t>E-commerce Analyst</t>
  </si>
  <si>
    <t>Content Writer</t>
  </si>
  <si>
    <t>Video Editor</t>
  </si>
  <si>
    <t>Web Developer</t>
  </si>
  <si>
    <t>Account Manager</t>
  </si>
  <si>
    <t>Customer Success Officer</t>
  </si>
  <si>
    <t>Keterangan</t>
  </si>
  <si>
    <t>Position Name</t>
  </si>
  <si>
    <t xml:space="preserve">Type of Employment </t>
  </si>
  <si>
    <t>Level</t>
  </si>
  <si>
    <t>Target of Hire</t>
  </si>
  <si>
    <t>Fulfilled</t>
  </si>
  <si>
    <t>Temporary PIC</t>
  </si>
  <si>
    <t>Date/Month Fulfillment</t>
  </si>
  <si>
    <t>Budget/Month</t>
  </si>
  <si>
    <t>Job Descriptions</t>
  </si>
  <si>
    <t>Requirements</t>
  </si>
  <si>
    <t>Alasan Penambahan Posisi</t>
  </si>
  <si>
    <t>Total Budget/Month</t>
  </si>
  <si>
    <t>PKWTT</t>
  </si>
  <si>
    <t>C-Level</t>
  </si>
  <si>
    <t>-</t>
  </si>
  <si>
    <t>01-01-2026</t>
  </si>
  <si>
    <t>Memimpin seluruh operasional perusahaan, menetapkan arah strategis bisnis, dan mengambil keputusan-keputusan kunci yang berdampak pada pertumbuhan Lemonsqueeze.</t>
  </si>
  <si>
    <t>Pengalaman memimpin perusahaan atau divisi; rekam jejak di industri digital/kreatif; kemampuan pengambilan keputusan dan negosiasi tingkat tinggi.</t>
  </si>
  <si>
    <t>Posisi puncak yang sudah ada dan menjadi tulang punggung seluruh arah bisnis perusahaan.</t>
  </si>
  <si>
    <t>Manager</t>
  </si>
  <si>
    <t>Merancang dan mengeksekusi strategi pemasaran Lemonsqueeze, mengawasi kualitas konten klien, serta memimpin tim kreatif dan social media.</t>
  </si>
  <si>
    <t>S1 Marketing/Komunikasi; pengalaman minimal 3 tahun di posisi manajerial marketing; familiar dengan ekosistem digital marketing Indonesia.</t>
  </si>
  <si>
    <t>Posisi yang sudah ada dan menjadi penggerak utama kualitas layanan marketing klien.</t>
  </si>
  <si>
    <t>Staff</t>
  </si>
  <si>
    <t>Membuat materi visual untuk kebutuhan konten media sosial dan kampanye digital klien, termasuk desain feed, story, banner, dan infografis.</t>
  </si>
  <si>
    <t>S1/D3 Desain Grafis atau DKV; portofolio desain media sosial; menguasai Adobe Photoshop, Illustrator, dan Canva.</t>
  </si>
  <si>
    <t>Posisi yang sudah ada; kebutuhan visual yang terus meningkat seiring bertambahnya klien mendorong dipertahankannya 2 desainer.</t>
  </si>
  <si>
    <t>Mengelola jadwal posting, memantau performa konten di berbagai platform klien, serta melakukan analisis engagement dan tren media sosial.</t>
  </si>
  <si>
    <t>S1 Komunikasi/Marketing; pengalaman mengelola akun media sosial brand; memahami algoritma Instagram, TikTok, dan platform sejenis.</t>
  </si>
  <si>
    <t>Posisi yang sudah ada dan menjadi ujung tombak pengelolaan harian media sosial klien.</t>
  </si>
  <si>
    <t>Mengelola pembukuan, arus kas, penagihan klien, penggajian, dan laporan keuangan bulanan perusahaan.</t>
  </si>
  <si>
    <t>S1 Akuntansi/Keuangan; pengalaman minimal 1-2 tahun di posisi yang sama; teliti dan memahami perpajakan dasar.</t>
  </si>
  <si>
    <t>Posisi yang sudah ada dan krusial untuk memastikan kesehatan keuangan operasional perusahaan.</t>
  </si>
  <si>
    <t>Merancang dan menjalankan proses rekrutmen, mengelola administrasi kepegawaian, memastikan kepatuhan terhadap regulasi ketenagakerjaan, serta merancang kebijakan SDM.</t>
  </si>
  <si>
    <t>S1 Psikologi/Manajemen SDM; pengalaman minimal 2 tahun di HR; memahami UU Ketenagakerjaan dan PP Pengupahan.</t>
  </si>
  <si>
    <t>Posisi yang sudah ada dan bertanggung jawab atas seluruh perencanaan SDM, termasuk dokumen MPP ini.</t>
  </si>
  <si>
    <t>Business Development Manager</t>
  </si>
  <si>
    <t>Memimpin upaya akuisisi klien baru di luar jaringan CEO, membangun pipeline penjualan, merancang strategi penetrasi pasar, dan mengembangkan tim sales secara keseluruhan.</t>
  </si>
  <si>
    <t>S1 Marketing/Manajemen/Komunikasi; pengalaman 3-5 tahun di business development atau penjualan B2B, idealnya di agency digital; memiliki jaringan luas dengan brand menengah ke atas; negosiasi kuat.</t>
  </si>
  <si>
    <t>Selama ini akuisisi klien sepenuhnya bergantung pada koneksi CEO. Tanpa BD Manager, perusahaan tidak akan mampu membuka pasar baru secara sistematis dan target revenue Rp1 miliar/bulan sulit tercapai.</t>
  </si>
  <si>
    <t>Melakukan outreach aktif ke calon klien, mengelola pipeline penjualan via CRM, menyusun proposal layanan, dan mengawal proses closing hingga klien onboard.</t>
  </si>
  <si>
    <t>S1 semua jurusan, diutamakan Marketing/Komunikasi; pengalaman 1-2 tahun di sales atau customer-facing; komunikatif dan berorientasi target; familiar dengan dunia digital.</t>
  </si>
  <si>
    <t>Mendukung BD Manager dalam mengakselerasi akuisisi klien. Dengan 2 Sales Executive (1 di Q1, 1 di Q3), kapasitas prospecting meningkat signifikan tanpa membebani BD Manager secara operasional.</t>
  </si>
  <si>
    <t>01-04-2026</t>
  </si>
  <si>
    <t>Mengelola toko online klien di Shopee, Tokopedia, Lazada, dan TikTok Shop; mengoptimalkan listing produk; merancang kampanye promosi marketplace; serta membuat laporan performa secara rutin.</t>
  </si>
  <si>
    <t>S1 semua jurusan; pengalaman 1-2 tahun mengelola akun marketplace; paham algoritma pencarian dan fitur iklan di platform e-commerce; detail-oriented dan mampu mengelola banyak akun sekaligus.</t>
  </si>
  <si>
    <t>Lemonsqueeze menargetkan layanan marketplace sebagai lini bisnis baru. Tanpa spesialis yang berdedikasi, ekspansi ke marketplace tidak akan berjalan optimal dan layanan ini tidak bisa menjadi nilai jual yang kompetitif.</t>
  </si>
  <si>
    <t>Menganalisis data performa toko dan kampanye marketplace klien, mengidentifikasi tren dan peluang perbaikan, serta menyusun laporan insight yang dapat ditindaklanjuti tim.</t>
  </si>
  <si>
    <t>S1 semua jurusan; kemampuan analisis data dan penggunaan dashboard analytics marketplace; menguasai Excel/Google Sheets untuk pengolahan data; terbiasa dengan metric e-commerce.</t>
  </si>
  <si>
    <t>Data tanpa analisis tidak menghasilkan keputusan yang tepat. E-commerce Analyst memastikan layanan marketplace Lemonsqueeze berbasis data, bukan sekadar intuisi.</t>
  </si>
  <si>
    <t>Membuat caption, artikel, dan materi copywriting untuk berbagai platform klien; menyesuaikan tone of voice dengan brand guidelines; berkolaborasi dengan desainer dan video editor untuk konten terpadu; serta mengelola kalender konten bersama Social Media Specialist.</t>
  </si>
  <si>
    <t>S1 Komunikasi/Jurnalistik/Sastra; portofolio penulisan konten brand; kemampuan menulis dalam Bahasa Indonesia dan Inggris; memahami dasar SEO dan copywriting media sosial; kreatif dan adaptif.</t>
  </si>
  <si>
    <t>Dengan bertambahnya klien, kebutuhan konten tertulis meningkat tajam. Saat ini tidak ada dedicated writer, sehingga kualitas caption dan copywriting kurang konsisten. Posisi ini langsung memperkuat retensi klien.</t>
  </si>
  <si>
    <t>Mengedit video mentah menjadi konten siap tayang sesuai brief klien; menambahkan motion graphic, subtitle, dan efek visual; menyesuaikan format dengan kebutuhan Reels, TikTok, dan YouTube Shorts.</t>
  </si>
  <si>
    <t>S1/D3 DKV atau Broadcasting; menguasai CapCut Pro, Adobe Premiere, dan After Effects; portofolio konten video media sosial; memiliki estetika visual yang kuat; terbiasa bekerja dalam tenggat waktu ketat.</t>
  </si>
  <si>
    <t>Konten video mendominasi engagement di hampir semua platform saat ini. Ketiadaan video editor membuat Lemonsqueeze tidak bisa menawarkan layanan video secara penuh, yang menjadi keterbatasan kompetitif yang nyata.</t>
  </si>
  <si>
    <t>01-07-2026</t>
  </si>
  <si>
    <t>Membangun dan memelihara landing page, microsite, atau platform digital klien; mengintegrasikan kebutuhan teknis dengan strategi digital marketing; memastikan performa dan keamanan situs.</t>
  </si>
  <si>
    <t>S1 Teknik Informatika/Ilmu Komputer; pengalaman dengan HTML, CSS, JavaScript, dan salah satu framework modern; familiar dengan kebutuhan digital marketing seperti pixel tracking dan integrasi form.</t>
  </si>
  <si>
    <t>Beberapa klien membutuhkan dukungan web sebagai bagian dari ekosistem digital mereka. Dengan adanya Web Developer in-house, Lemonsqueeze bisa menawarkan layanan yang lebih lengkap dan tidak perlu bergantung pada pihak ketiga.</t>
  </si>
  <si>
    <t>Menjadi titik kontak utama antara Lemonsqueeze dan klien yang sudah onboard; memastikan deliverable disampaikan tepat waktu; mengidentifikasi peluang upsell; menyusun laporan kinerja bulanan; dan menjadi eskalasi pertama atas keluhan klien.</t>
  </si>
  <si>
    <t>S1 Komunikasi/Marketing/Manajemen; pengalaman minimal 2 tahun sebagai Account Manager di agency atau perusahaan jasa; kemampuan komunikasi dan presentasi yang baik; detail-oriented dan mampu multitasking.</t>
  </si>
  <si>
    <t>Saat ini tidak ada yang mengelola hubungan klien secara khusus selain CEO. Ketika jumlah klien bertambah, tanpa Account Manager, risiko churn meningkat dan CEO tidak bisa fokus pada pengembangan bisnis.</t>
  </si>
  <si>
    <t>Memastikan kepuasan klien setelah onboarding, menangani pertanyaan dan keluhan operasional harian, mengumpulkan feedback klien secara rutin, dan mendukung Account Manager dalam pemeliharaan hubungan jangka panjang.</t>
  </si>
  <si>
    <t>S1 semua jurusan; kemampuan komunikasi yang baik; sabar dan solutif dalam menghadapi komplain; familiar dengan tools komunikasi bisnis.</t>
  </si>
  <si>
    <t>Ketika klien sudah banyak, Account Manager tidak bisa menangani setiap interaksi harian sendirian. Customer Success Officer memastikan klien tetap terlayani dengan baik tanpa bottleneck di level manajerial.</t>
  </si>
  <si>
    <t>TOTAL BUDGET</t>
  </si>
  <si>
    <t>📊  RINGKASAN ANGGARAN TENAGA KERJA</t>
  </si>
  <si>
    <t>Komponen</t>
  </si>
  <si>
    <t>Nilai (Rp/Bulan)</t>
  </si>
  <si>
    <t>Target Revenue per Bulan</t>
  </si>
  <si>
    <t>Target akhir tahun 2026</t>
  </si>
  <si>
    <t>Batas Maks. Labor Cost (30%)</t>
  </si>
  <si>
    <t>Sesuai arahan CEO</t>
  </si>
  <si>
    <t>Labor Cost Existing (7 HC)</t>
  </si>
  <si>
    <t>Sudah berjalan</t>
  </si>
  <si>
    <t>Sisa Budget untuk HC Baru</t>
  </si>
  <si>
    <t>Rp300 jt – Rp90 jt</t>
  </si>
  <si>
    <t>Total Labor Cost Target Akhir 2026</t>
  </si>
  <si>
    <t>15 HC (existing + baru)</t>
  </si>
  <si>
    <t>Buffer dari Batas Maksimal</t>
  </si>
  <si>
    <t>14% di bawah batas atas</t>
  </si>
  <si>
    <t>📅  REKAP HEADCOUNT PER KUARTAL</t>
  </si>
  <si>
    <t>Q1 (Jan–Mar)</t>
  </si>
  <si>
    <t>Q2 (Apr–Jun)</t>
  </si>
  <si>
    <t>Q3 (Jul–Sep)</t>
  </si>
  <si>
    <t>Q4 (Okt–Des)</t>
  </si>
  <si>
    <t>Total HC Akhir</t>
  </si>
  <si>
    <t>Business Dev. Manager</t>
  </si>
  <si>
    <t>TOTAL HC per Kuartal</t>
  </si>
  <si>
    <t>💰  PROYEKSI LABOR COST PER KUARTAL</t>
  </si>
  <si>
    <t>Labor Cost / Bulan (Rp)</t>
  </si>
  <si>
    <t>% dari Target Revenue</t>
  </si>
  <si>
    <t>No.</t>
  </si>
  <si>
    <t>Sumber / Institusi</t>
  </si>
  <si>
    <t>Judul &amp; Relevansi</t>
  </si>
  <si>
    <t>Tahun</t>
  </si>
  <si>
    <t>Link</t>
  </si>
  <si>
    <t>1</t>
  </si>
  <si>
    <t>DataOn / SunFish HR Indonesia</t>
  </si>
  <si>
    <t>From Manpower Planning to Strategic Workforce Planning: Why Indonesian Companies Must Shift Now</t>
  </si>
  <si>
    <t>Des 2025</t>
  </si>
  <si>
    <t>https://www.sunfish.co.id/blog/manpower-planning</t>
  </si>
  <si>
    <t>2</t>
  </si>
  <si>
    <t>Mekari Talenta</t>
  </si>
  <si>
    <t>A Comprehensive Guide to Manpower Planning: Process and Best Practices</t>
  </si>
  <si>
    <t>Feb 2026</t>
  </si>
  <si>
    <t>https://talenta.co/blog/manpower-planning</t>
  </si>
  <si>
    <t>3</t>
  </si>
  <si>
    <t>Jobseeker.software</t>
  </si>
  <si>
    <t>Manpower Planning (MPP) — Panduan Lengkap 2026</t>
  </si>
  <si>
    <t>Jan 2026</t>
  </si>
  <si>
    <t>https://jobseeker.software/blog/mpp</t>
  </si>
  <si>
    <t>4</t>
  </si>
  <si>
    <t>Gartner via iMocha</t>
  </si>
  <si>
    <t>Top 7 Manpower Planning Tools for 2026</t>
  </si>
  <si>
    <t>https://www.imocha.io/gartner-workforce-planning</t>
  </si>
  <si>
    <t>5</t>
  </si>
  <si>
    <t>SHRM</t>
  </si>
  <si>
    <t>Indonesia: Centralized Job Vacancies System</t>
  </si>
  <si>
    <t>Feb 2024</t>
  </si>
  <si>
    <t>https://www.shrm.org/indonesia</t>
  </si>
  <si>
    <t>6</t>
  </si>
  <si>
    <t>Pemerintah RI / Kemnaker</t>
  </si>
  <si>
    <t>UU No. 13 Tahun 2003 tentang Ketenagakerjaan</t>
  </si>
  <si>
    <t>2003</t>
  </si>
  <si>
    <t>https://www.hukumonline.com/pusatdata/uu13-2003</t>
  </si>
  <si>
    <t>7</t>
  </si>
  <si>
    <t>Pemerintah RI</t>
  </si>
  <si>
    <t>UU No. 6 Tahun 2023 tentang Cipta Kerja (Omnibus Law)</t>
  </si>
  <si>
    <t>2023</t>
  </si>
  <si>
    <t>https://www.hukumonline.com/pusatdata/uu6-2023</t>
  </si>
  <si>
    <t>8</t>
  </si>
  <si>
    <t>PP No. 51 Tahun 2023 tentang Pengupahan</t>
  </si>
  <si>
    <t>https://www.hukumonline.com/pusatdata/pp51-2023</t>
  </si>
  <si>
    <t>9</t>
  </si>
  <si>
    <t>Gadjian / Tim HR Indonesia</t>
  </si>
  <si>
    <t>HR Guide: Labor Law and Job Creation Law in Indonesia</t>
  </si>
  <si>
    <t>Des 2024</t>
  </si>
  <si>
    <t>https://gadjian.com/blog/labor-law-guide</t>
  </si>
  <si>
    <t>10</t>
  </si>
  <si>
    <t>Putranto Alliance</t>
  </si>
  <si>
    <t>Navigating Indonesia's Employment Laws: A Guide for Employers</t>
  </si>
  <si>
    <t>Agt 2025</t>
  </si>
  <si>
    <t>https://putranto.law</t>
  </si>
  <si>
    <t>11</t>
  </si>
  <si>
    <t>Google, Temasek &amp; Bain</t>
  </si>
  <si>
    <t>e-Conomy SEA 2024</t>
  </si>
  <si>
    <t>2024</t>
  </si>
  <si>
    <t>https://economysea.withgoogle.com</t>
  </si>
  <si>
    <t>12</t>
  </si>
  <si>
    <t>SIRCLO</t>
  </si>
  <si>
    <t>Menelaah Lanskap E-Commerce Indonesia: Tren 2024 &amp; Proyeksi 2025</t>
  </si>
  <si>
    <t>Apr 2025</t>
  </si>
  <si>
    <t>https://sirclo.com/insights</t>
  </si>
  <si>
    <t>13</t>
  </si>
  <si>
    <t>ECDB</t>
  </si>
  <si>
    <t>Global E-Commerce Growth Projection 2024</t>
  </si>
  <si>
    <t>https://ecdb.com/reports</t>
  </si>
  <si>
    <t>14</t>
  </si>
  <si>
    <t>BPS RI</t>
  </si>
  <si>
    <t>Statistik E-Commerce 2024</t>
  </si>
  <si>
    <t>Nov 2025</t>
  </si>
  <si>
    <t>https://www.bps.go.id/ecommerce-2024</t>
  </si>
  <si>
    <t>15</t>
  </si>
  <si>
    <t>APJII</t>
  </si>
  <si>
    <t>Laporan Penetrasi Internet Indonesia 2024</t>
  </si>
  <si>
    <t>https://apjii.or.id/survei</t>
  </si>
  <si>
    <t>16</t>
  </si>
  <si>
    <t>We Are Social &amp; Hootsuite</t>
  </si>
  <si>
    <t>Digital 2025: Indonesia</t>
  </si>
  <si>
    <t>Jan 2025</t>
  </si>
  <si>
    <t>https://datareportal.com/reports/digital-2025-indonesia</t>
  </si>
  <si>
    <t>17</t>
  </si>
  <si>
    <t>Cogent Business &amp; Management</t>
  </si>
  <si>
    <t>Strategic HRM in the Digital Economy Era: Empirical Study on MSMEs &amp; Startups in Indonesia</t>
  </si>
  <si>
    <t>Jul 2025</t>
  </si>
  <si>
    <t>https://www.tandfonline.com/doi/cogent-hrm-indonesia</t>
  </si>
  <si>
    <t>18</t>
  </si>
  <si>
    <t>Korn Ferry</t>
  </si>
  <si>
    <t>Global Talent Crunch Report 2017-2030</t>
  </si>
  <si>
    <t>2017</t>
  </si>
  <si>
    <t>https://www.kornferry.com/talent-crunch</t>
  </si>
  <si>
    <t>19</t>
  </si>
  <si>
    <t>World Bank</t>
  </si>
  <si>
    <t>Indonesia Jobs and Development Report 2018</t>
  </si>
  <si>
    <t>2018</t>
  </si>
  <si>
    <t>https://www.worldbank.org/indonesia-jobs-2018</t>
  </si>
  <si>
    <t>20</t>
  </si>
  <si>
    <t>OJK Institute</t>
  </si>
  <si>
    <t>Towards Indonesia Emas 2045: Business Actors Need Digitalized HR Management Solutions</t>
  </si>
  <si>
    <t>Apr 2024</t>
  </si>
  <si>
    <t>https://ojk.go.id/institute</t>
  </si>
  <si>
    <t>21</t>
  </si>
  <si>
    <t>Human Resources Online</t>
  </si>
  <si>
    <t>Highlighting HR's Role in Shaping the Future of Work: Key Takeaways from Transform Talent Indonesia 2025</t>
  </si>
  <si>
    <t>Mei 2025</t>
  </si>
  <si>
    <t>https://www.humanresourcesonline.net/transform-talent-2025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</si>
</sst>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>
    <font>
      <sz val="10"/>
      <color rgb="FF000000"/>
      <name val="Arial"/>
      <scheme val="minor"/>
    </font>
    <font>
      <sz val="10"/>
      <color theme="1"/>
      <name val="DM Sans"/>
    </font>
    <font>
      <b/>
      <sz val="10"/>
      <name val="Arial"/>
    </font>
    <font>
      <sz val="10"/>
      <name val="Arial"/>
    </font>
    <font>
      <b/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6D9EEB"/>
        <bgColor rgb="FF6D9EEB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6D9EEB"/>
      </patternFill>
    </fill>
    <fill>
      <patternFill patternType="solid">
        <fgColor rgb="FF2F5496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/>
    <xf numFmtId="0" fontId="2" fillId="7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3" fontId="6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center" wrapText="1"/>
    </xf>
    <xf numFmtId="3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center" vertical="center" wrapText="1"/>
    </xf>
    <xf numFmtId="3" fontId="7" fillId="6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5" fillId="8" borderId="5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7" fillId="7" borderId="8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0" borderId="3" xfId="0" applyFont="1" applyBorder="1"/>
    <xf numFmtId="0" fontId="8" fillId="0" borderId="4" xfId="0" applyFont="1" applyBorder="1"/>
    <xf numFmtId="0" fontId="8" fillId="0" borderId="9" xfId="0" applyFont="1" applyBorder="1"/>
    <xf numFmtId="0" fontId="6" fillId="4" borderId="8" xfId="0" applyFont="1" applyFill="1" applyBorder="1" applyAlignment="1">
      <alignment horizontal="left" vertical="center" wrapText="1"/>
    </xf>
    <xf numFmtId="3" fontId="6" fillId="4" borderId="2" xfId="0" applyNumberFormat="1" applyFont="1" applyFill="1" applyBorder="1" applyAlignment="1">
      <alignment horizontal="center" vertical="center" wrapText="1"/>
    </xf>
    <xf numFmtId="0" fontId="8" fillId="0" borderId="0" xfId="0" applyFont="1" applyBorder="1"/>
    <xf numFmtId="0" fontId="6" fillId="4" borderId="2" xfId="0" applyFont="1" applyFill="1" applyBorder="1" applyAlignment="1">
      <alignment horizontal="left" vertical="center" wrapText="1"/>
    </xf>
    <xf numFmtId="0" fontId="8" fillId="0" borderId="10" xfId="0" applyFont="1" applyBorder="1"/>
    <xf numFmtId="0" fontId="6" fillId="9" borderId="8" xfId="0" applyFont="1" applyFill="1" applyBorder="1" applyAlignment="1">
      <alignment horizontal="left" vertical="center" wrapText="1"/>
    </xf>
    <xf numFmtId="3" fontId="6" fillId="9" borderId="2" xfId="0" applyNumberFormat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9" borderId="11" xfId="0" applyFont="1" applyFill="1" applyBorder="1" applyAlignment="1">
      <alignment horizontal="left" vertical="center" wrapText="1"/>
    </xf>
    <xf numFmtId="3" fontId="6" fillId="9" borderId="12" xfId="0" applyNumberFormat="1" applyFont="1" applyFill="1" applyBorder="1" applyAlignment="1">
      <alignment horizontal="center" vertical="center" wrapText="1"/>
    </xf>
    <xf numFmtId="0" fontId="8" fillId="0" borderId="13" xfId="0" applyFont="1" applyBorder="1"/>
    <xf numFmtId="0" fontId="6" fillId="9" borderId="12" xfId="0" applyFont="1" applyFill="1" applyBorder="1" applyAlignment="1">
      <alignment horizontal="left" vertical="center" wrapText="1"/>
    </xf>
    <xf numFmtId="0" fontId="8" fillId="0" borderId="14" xfId="0" applyFont="1" applyBorder="1"/>
    <xf numFmtId="0" fontId="5" fillId="8" borderId="0" xfId="0" applyFont="1" applyFill="1" applyAlignment="1">
      <alignment horizontal="center" vertical="center"/>
    </xf>
    <xf numFmtId="0" fontId="8" fillId="0" borderId="0" xfId="0" applyFont="1"/>
    <xf numFmtId="0" fontId="7" fillId="7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164" fontId="6" fillId="4" borderId="2" xfId="0" applyNumberFormat="1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164" fontId="6" fillId="9" borderId="2" xfId="0" applyNumberFormat="1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164" fontId="6" fillId="9" borderId="12" xfId="0" applyNumberFormat="1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Proyeksi Labor Cost per Kuartal (Rp)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TEMPLATE!$C$51</c:f>
              <c:strCache>
                <c:ptCount val="1"/>
                <c:pt idx="0">
                  <c:v>Labor Cost / Bulan (Rp)</c:v>
                </c:pt>
              </c:strCache>
            </c:strRef>
          </c:tx>
          <c:spPr>
            <a:solidFill>
              <a:srgbClr val="2F5496"/>
            </a:solidFill>
            <a:ln>
              <a:prstDash val="solid"/>
            </a:ln>
          </c:spPr>
          <c:invertIfNegative val="1"/>
          <c:cat>
            <c:strRef>
              <c:f>TEMPLATE!$A$52:$A$55</c:f>
              <c:strCache>
                <c:ptCount val="4"/>
                <c:pt idx="0">
                  <c:v>Q1 (Jan–Mar)</c:v>
                </c:pt>
                <c:pt idx="1">
                  <c:v>Q2 (Apr–Jun)</c:v>
                </c:pt>
                <c:pt idx="2">
                  <c:v>Q3 (Jul–Sep)</c:v>
                </c:pt>
                <c:pt idx="3">
                  <c:v>Q4 (Okt–Des)</c:v>
                </c:pt>
              </c:strCache>
            </c:strRef>
          </c:cat>
          <c:val>
            <c:numRef>
              <c:f>TEMPLATE!$C$52:$C$55</c:f>
              <c:numCache>
                <c:formatCode>#,##0</c:formatCode>
                <c:ptCount val="4"/>
                <c:pt idx="0">
                  <c:v>165000000</c:v>
                </c:pt>
                <c:pt idx="1">
                  <c:v>213000000</c:v>
                </c:pt>
                <c:pt idx="2">
                  <c:v>243000000</c:v>
                </c:pt>
                <c:pt idx="3">
                  <c:v>258000000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636480"/>
        <c:axId val="221638656"/>
      </c:barChart>
      <c:catAx>
        <c:axId val="22163648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Kuartal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221638656"/>
        <c:crosses val="autoZero"/>
        <c:auto val="1"/>
        <c:lblAlgn val="ctr"/>
        <c:lblOffset val="100"/>
        <c:noMultiLvlLbl val="1"/>
      </c:catAx>
      <c:valAx>
        <c:axId val="22163865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Labor Cost (Rp)</a:t>
                </a:r>
              </a:p>
            </c:rich>
          </c:tx>
          <c:layout/>
          <c:overlay val="1"/>
        </c:title>
        <c:numFmt formatCode="#,##0" sourceLinked="1"/>
        <c:majorTickMark val="none"/>
        <c:minorTickMark val="none"/>
        <c:tickLblPos val="nextTo"/>
        <c:crossAx val="221636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Distribusi Budget per Posisi</a:t>
            </a:r>
          </a:p>
        </c:rich>
      </c:tx>
      <c:layout/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TEMPLATE!$B$2:$B$16</c:f>
              <c:strCache>
                <c:ptCount val="15"/>
                <c:pt idx="0">
                  <c:v>CEO</c:v>
                </c:pt>
                <c:pt idx="1">
                  <c:v>Head of Marketing</c:v>
                </c:pt>
                <c:pt idx="2">
                  <c:v>Graphic Designer</c:v>
                </c:pt>
                <c:pt idx="3">
                  <c:v>Social Media Specialist</c:v>
                </c:pt>
                <c:pt idx="4">
                  <c:v>Finance</c:v>
                </c:pt>
                <c:pt idx="5">
                  <c:v>HR Manager</c:v>
                </c:pt>
                <c:pt idx="6">
                  <c:v>Business Development Manager</c:v>
                </c:pt>
                <c:pt idx="7">
                  <c:v>Sales Executive</c:v>
                </c:pt>
                <c:pt idx="8">
                  <c:v>Marketplace Specialist</c:v>
                </c:pt>
                <c:pt idx="9">
                  <c:v>E-commerce Analyst</c:v>
                </c:pt>
                <c:pt idx="10">
                  <c:v>Content Writer</c:v>
                </c:pt>
                <c:pt idx="11">
                  <c:v>Video Editor</c:v>
                </c:pt>
                <c:pt idx="12">
                  <c:v>Web Developer</c:v>
                </c:pt>
                <c:pt idx="13">
                  <c:v>Account Manager</c:v>
                </c:pt>
                <c:pt idx="14">
                  <c:v>Customer Success Officer</c:v>
                </c:pt>
              </c:strCache>
            </c:strRef>
          </c:cat>
          <c:val>
            <c:numRef>
              <c:f>TEMPLATE!$J$2:$J$16</c:f>
              <c:numCache>
                <c:formatCode>#,##0</c:formatCode>
                <c:ptCount val="15"/>
                <c:pt idx="0">
                  <c:v>30000000</c:v>
                </c:pt>
                <c:pt idx="1">
                  <c:v>20000000</c:v>
                </c:pt>
                <c:pt idx="2">
                  <c:v>20000000</c:v>
                </c:pt>
                <c:pt idx="3">
                  <c:v>5000000</c:v>
                </c:pt>
                <c:pt idx="4">
                  <c:v>5000000</c:v>
                </c:pt>
                <c:pt idx="5">
                  <c:v>10000000</c:v>
                </c:pt>
                <c:pt idx="6">
                  <c:v>15000000</c:v>
                </c:pt>
                <c:pt idx="7">
                  <c:v>16000000</c:v>
                </c:pt>
                <c:pt idx="8">
                  <c:v>16000000</c:v>
                </c:pt>
                <c:pt idx="9">
                  <c:v>8000000</c:v>
                </c:pt>
                <c:pt idx="10">
                  <c:v>6000000</c:v>
                </c:pt>
                <c:pt idx="11">
                  <c:v>8000000</c:v>
                </c:pt>
                <c:pt idx="12">
                  <c:v>12000000</c:v>
                </c:pt>
                <c:pt idx="13">
                  <c:v>10000000</c:v>
                </c:pt>
                <c:pt idx="14">
                  <c:v>7000000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57</xdr:row>
      <xdr:rowOff>0</xdr:rowOff>
    </xdr:from>
    <xdr:ext cx="504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57</xdr:row>
      <xdr:rowOff>0</xdr:rowOff>
    </xdr:from>
    <xdr:ext cx="5040000" cy="43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98"/>
  <sheetViews>
    <sheetView tabSelected="1" zoomScale="55" zoomScaleNormal="55" workbookViewId="0">
      <pane ySplit="1" topLeftCell="A41" activePane="bottomLeft" state="frozen"/>
      <selection pane="bottomLeft" activeCell="G17" sqref="A1:M17"/>
    </sheetView>
  </sheetViews>
  <sheetFormatPr defaultColWidth="12.6328125" defaultRowHeight="15.75" customHeight="1"/>
  <cols>
    <col min="1" max="1" width="12" style="54" customWidth="1"/>
    <col min="2" max="2" width="22" style="54" customWidth="1"/>
    <col min="3" max="3" width="16" style="54" customWidth="1"/>
    <col min="4" max="4" width="14" style="54" customWidth="1"/>
    <col min="5" max="5" width="12.6328125" style="54" bestFit="1" customWidth="1"/>
    <col min="6" max="6" width="11.90625" style="54" bestFit="1" customWidth="1"/>
    <col min="7" max="7" width="22" style="54" customWidth="1"/>
    <col min="8" max="8" width="20" style="54" customWidth="1"/>
    <col min="9" max="9" width="16" style="54" customWidth="1"/>
    <col min="10" max="10" width="18" style="54" customWidth="1"/>
    <col min="11" max="11" width="50" style="54" customWidth="1"/>
    <col min="12" max="13" width="45" style="54" customWidth="1"/>
    <col min="14" max="16384" width="12.6328125" style="16"/>
  </cols>
  <sheetData>
    <row r="1" spans="1:30" ht="30" customHeight="1">
      <c r="A1" s="5" t="s">
        <v>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33</v>
      </c>
      <c r="K1" s="5" t="s">
        <v>30</v>
      </c>
      <c r="L1" s="5" t="s">
        <v>31</v>
      </c>
      <c r="M1" s="6" t="s">
        <v>32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1:30" ht="100" customHeight="1">
      <c r="A2" s="7" t="s">
        <v>5</v>
      </c>
      <c r="B2" s="7" t="s">
        <v>4</v>
      </c>
      <c r="C2" s="7" t="s">
        <v>34</v>
      </c>
      <c r="D2" s="7" t="s">
        <v>35</v>
      </c>
      <c r="E2" s="7">
        <v>1</v>
      </c>
      <c r="F2" s="7">
        <v>1</v>
      </c>
      <c r="G2" s="7" t="s">
        <v>36</v>
      </c>
      <c r="H2" s="7" t="s">
        <v>37</v>
      </c>
      <c r="I2" s="8">
        <v>30000000</v>
      </c>
      <c r="J2" s="8">
        <f t="shared" ref="J2:J16" si="0">E2*I2</f>
        <v>30000000</v>
      </c>
      <c r="K2" s="9" t="s">
        <v>38</v>
      </c>
      <c r="L2" s="9" t="s">
        <v>39</v>
      </c>
      <c r="M2" s="9" t="s">
        <v>40</v>
      </c>
      <c r="N2" s="17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spans="1:30" ht="100" customHeight="1">
      <c r="A3" s="7" t="s">
        <v>5</v>
      </c>
      <c r="B3" s="7" t="s">
        <v>6</v>
      </c>
      <c r="C3" s="7" t="s">
        <v>34</v>
      </c>
      <c r="D3" s="7" t="s">
        <v>41</v>
      </c>
      <c r="E3" s="7">
        <v>1</v>
      </c>
      <c r="F3" s="7">
        <v>1</v>
      </c>
      <c r="G3" s="7" t="s">
        <v>4</v>
      </c>
      <c r="H3" s="7" t="s">
        <v>37</v>
      </c>
      <c r="I3" s="8">
        <v>20000000</v>
      </c>
      <c r="J3" s="8">
        <f t="shared" si="0"/>
        <v>20000000</v>
      </c>
      <c r="K3" s="9" t="s">
        <v>42</v>
      </c>
      <c r="L3" s="9" t="s">
        <v>43</v>
      </c>
      <c r="M3" s="9" t="s">
        <v>44</v>
      </c>
      <c r="N3" s="17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spans="1:30" ht="100" customHeight="1">
      <c r="A4" s="7" t="s">
        <v>7</v>
      </c>
      <c r="B4" s="7" t="s">
        <v>8</v>
      </c>
      <c r="C4" s="7" t="s">
        <v>34</v>
      </c>
      <c r="D4" s="7" t="s">
        <v>45</v>
      </c>
      <c r="E4" s="7">
        <v>2</v>
      </c>
      <c r="F4" s="7">
        <v>2</v>
      </c>
      <c r="G4" s="7" t="s">
        <v>6</v>
      </c>
      <c r="H4" s="7" t="s">
        <v>37</v>
      </c>
      <c r="I4" s="8">
        <v>10000000</v>
      </c>
      <c r="J4" s="8">
        <f t="shared" si="0"/>
        <v>20000000</v>
      </c>
      <c r="K4" s="9" t="s">
        <v>46</v>
      </c>
      <c r="L4" s="9" t="s">
        <v>47</v>
      </c>
      <c r="M4" s="9" t="s">
        <v>48</v>
      </c>
      <c r="N4" s="17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spans="1:30" ht="100" customHeight="1">
      <c r="A5" s="7" t="s">
        <v>7</v>
      </c>
      <c r="B5" s="7" t="s">
        <v>10</v>
      </c>
      <c r="C5" s="7" t="s">
        <v>34</v>
      </c>
      <c r="D5" s="7" t="s">
        <v>45</v>
      </c>
      <c r="E5" s="7">
        <v>1</v>
      </c>
      <c r="F5" s="7">
        <v>1</v>
      </c>
      <c r="G5" s="7" t="s">
        <v>6</v>
      </c>
      <c r="H5" s="7" t="s">
        <v>37</v>
      </c>
      <c r="I5" s="8">
        <v>5000000</v>
      </c>
      <c r="J5" s="8">
        <f t="shared" si="0"/>
        <v>5000000</v>
      </c>
      <c r="K5" s="9" t="s">
        <v>49</v>
      </c>
      <c r="L5" s="9" t="s">
        <v>50</v>
      </c>
      <c r="M5" s="9" t="s">
        <v>51</v>
      </c>
      <c r="N5" s="17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spans="1:30" ht="100" customHeight="1">
      <c r="A6" s="7" t="s">
        <v>9</v>
      </c>
      <c r="B6" s="7" t="s">
        <v>11</v>
      </c>
      <c r="C6" s="7" t="s">
        <v>34</v>
      </c>
      <c r="D6" s="7" t="s">
        <v>45</v>
      </c>
      <c r="E6" s="7">
        <v>1</v>
      </c>
      <c r="F6" s="7">
        <v>1</v>
      </c>
      <c r="G6" s="7" t="s">
        <v>4</v>
      </c>
      <c r="H6" s="7" t="s">
        <v>37</v>
      </c>
      <c r="I6" s="8">
        <v>5000000</v>
      </c>
      <c r="J6" s="8">
        <f t="shared" si="0"/>
        <v>5000000</v>
      </c>
      <c r="K6" s="9" t="s">
        <v>52</v>
      </c>
      <c r="L6" s="9" t="s">
        <v>53</v>
      </c>
      <c r="M6" s="9" t="s">
        <v>54</v>
      </c>
      <c r="N6" s="17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spans="1:30" ht="100" customHeight="1">
      <c r="A7" s="7" t="s">
        <v>9</v>
      </c>
      <c r="B7" s="7" t="s">
        <v>12</v>
      </c>
      <c r="C7" s="7" t="s">
        <v>34</v>
      </c>
      <c r="D7" s="7" t="s">
        <v>41</v>
      </c>
      <c r="E7" s="7">
        <v>1</v>
      </c>
      <c r="F7" s="7">
        <v>1</v>
      </c>
      <c r="G7" s="7" t="s">
        <v>4</v>
      </c>
      <c r="H7" s="7" t="s">
        <v>37</v>
      </c>
      <c r="I7" s="8">
        <v>10000000</v>
      </c>
      <c r="J7" s="8">
        <f t="shared" si="0"/>
        <v>10000000</v>
      </c>
      <c r="K7" s="9" t="s">
        <v>55</v>
      </c>
      <c r="L7" s="9" t="s">
        <v>56</v>
      </c>
      <c r="M7" s="9" t="s">
        <v>57</v>
      </c>
      <c r="N7" s="17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spans="1:30" ht="100" customHeight="1">
      <c r="A8" s="10" t="s">
        <v>5</v>
      </c>
      <c r="B8" s="10" t="s">
        <v>58</v>
      </c>
      <c r="C8" s="10" t="s">
        <v>34</v>
      </c>
      <c r="D8" s="10" t="s">
        <v>41</v>
      </c>
      <c r="E8" s="10">
        <v>1</v>
      </c>
      <c r="F8" s="10">
        <v>0</v>
      </c>
      <c r="G8" s="10" t="s">
        <v>4</v>
      </c>
      <c r="H8" s="10" t="s">
        <v>37</v>
      </c>
      <c r="I8" s="11">
        <v>15000000</v>
      </c>
      <c r="J8" s="11">
        <f t="shared" si="0"/>
        <v>15000000</v>
      </c>
      <c r="K8" s="12" t="s">
        <v>59</v>
      </c>
      <c r="L8" s="12" t="s">
        <v>60</v>
      </c>
      <c r="M8" s="12" t="s">
        <v>61</v>
      </c>
      <c r="N8" s="17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spans="1:30" ht="100" customHeight="1">
      <c r="A9" s="10" t="s">
        <v>5</v>
      </c>
      <c r="B9" s="10" t="s">
        <v>13</v>
      </c>
      <c r="C9" s="10" t="s">
        <v>34</v>
      </c>
      <c r="D9" s="10" t="s">
        <v>45</v>
      </c>
      <c r="E9" s="10">
        <v>2</v>
      </c>
      <c r="F9" s="10">
        <v>0</v>
      </c>
      <c r="G9" s="10" t="s">
        <v>58</v>
      </c>
      <c r="H9" s="10" t="s">
        <v>37</v>
      </c>
      <c r="I9" s="11">
        <v>8000000</v>
      </c>
      <c r="J9" s="11">
        <f t="shared" si="0"/>
        <v>16000000</v>
      </c>
      <c r="K9" s="12" t="s">
        <v>62</v>
      </c>
      <c r="L9" s="12" t="s">
        <v>63</v>
      </c>
      <c r="M9" s="12" t="s">
        <v>64</v>
      </c>
      <c r="N9" s="17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100" customHeight="1">
      <c r="A10" s="10" t="s">
        <v>5</v>
      </c>
      <c r="B10" s="10" t="s">
        <v>14</v>
      </c>
      <c r="C10" s="10" t="s">
        <v>34</v>
      </c>
      <c r="D10" s="10" t="s">
        <v>45</v>
      </c>
      <c r="E10" s="10">
        <v>2</v>
      </c>
      <c r="F10" s="10">
        <v>0</v>
      </c>
      <c r="G10" s="10" t="s">
        <v>6</v>
      </c>
      <c r="H10" s="10" t="s">
        <v>65</v>
      </c>
      <c r="I10" s="11">
        <v>8000000</v>
      </c>
      <c r="J10" s="11">
        <f t="shared" si="0"/>
        <v>16000000</v>
      </c>
      <c r="K10" s="12" t="s">
        <v>66</v>
      </c>
      <c r="L10" s="12" t="s">
        <v>67</v>
      </c>
      <c r="M10" s="12" t="s">
        <v>68</v>
      </c>
      <c r="N10" s="17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spans="1:30" ht="100" customHeight="1">
      <c r="A11" s="10" t="s">
        <v>7</v>
      </c>
      <c r="B11" s="10" t="s">
        <v>15</v>
      </c>
      <c r="C11" s="10" t="s">
        <v>34</v>
      </c>
      <c r="D11" s="10" t="s">
        <v>45</v>
      </c>
      <c r="E11" s="10">
        <v>1</v>
      </c>
      <c r="F11" s="10">
        <v>0</v>
      </c>
      <c r="G11" s="10" t="s">
        <v>6</v>
      </c>
      <c r="H11" s="10" t="s">
        <v>65</v>
      </c>
      <c r="I11" s="11">
        <v>8000000</v>
      </c>
      <c r="J11" s="11">
        <f t="shared" si="0"/>
        <v>8000000</v>
      </c>
      <c r="K11" s="12" t="s">
        <v>69</v>
      </c>
      <c r="L11" s="12" t="s">
        <v>70</v>
      </c>
      <c r="M11" s="12" t="s">
        <v>71</v>
      </c>
      <c r="N11" s="17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spans="1:30" ht="100" customHeight="1">
      <c r="A12" s="10" t="s">
        <v>5</v>
      </c>
      <c r="B12" s="10" t="s">
        <v>16</v>
      </c>
      <c r="C12" s="10" t="s">
        <v>34</v>
      </c>
      <c r="D12" s="10" t="s">
        <v>45</v>
      </c>
      <c r="E12" s="10">
        <v>1</v>
      </c>
      <c r="F12" s="10">
        <v>0</v>
      </c>
      <c r="G12" s="10" t="s">
        <v>6</v>
      </c>
      <c r="H12" s="10" t="s">
        <v>37</v>
      </c>
      <c r="I12" s="11">
        <v>6000000</v>
      </c>
      <c r="J12" s="11">
        <f t="shared" si="0"/>
        <v>6000000</v>
      </c>
      <c r="K12" s="12" t="s">
        <v>72</v>
      </c>
      <c r="L12" s="12" t="s">
        <v>73</v>
      </c>
      <c r="M12" s="12" t="s">
        <v>74</v>
      </c>
      <c r="N12" s="17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1:30" ht="100" customHeight="1">
      <c r="A13" s="10" t="s">
        <v>7</v>
      </c>
      <c r="B13" s="10" t="s">
        <v>17</v>
      </c>
      <c r="C13" s="10" t="s">
        <v>34</v>
      </c>
      <c r="D13" s="10" t="s">
        <v>45</v>
      </c>
      <c r="E13" s="10">
        <v>1</v>
      </c>
      <c r="F13" s="10">
        <v>0</v>
      </c>
      <c r="G13" s="10" t="s">
        <v>6</v>
      </c>
      <c r="H13" s="10" t="s">
        <v>65</v>
      </c>
      <c r="I13" s="11">
        <v>8000000</v>
      </c>
      <c r="J13" s="11">
        <f t="shared" si="0"/>
        <v>8000000</v>
      </c>
      <c r="K13" s="12" t="s">
        <v>75</v>
      </c>
      <c r="L13" s="12" t="s">
        <v>76</v>
      </c>
      <c r="M13" s="12" t="s">
        <v>77</v>
      </c>
      <c r="N13" s="17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spans="1:30" ht="100" customHeight="1">
      <c r="A14" s="10" t="s">
        <v>7</v>
      </c>
      <c r="B14" s="10" t="s">
        <v>18</v>
      </c>
      <c r="C14" s="10" t="s">
        <v>34</v>
      </c>
      <c r="D14" s="10" t="s">
        <v>45</v>
      </c>
      <c r="E14" s="10">
        <v>1</v>
      </c>
      <c r="F14" s="10">
        <v>0</v>
      </c>
      <c r="G14" s="10" t="s">
        <v>4</v>
      </c>
      <c r="H14" s="10" t="s">
        <v>78</v>
      </c>
      <c r="I14" s="11">
        <v>12000000</v>
      </c>
      <c r="J14" s="11">
        <f t="shared" si="0"/>
        <v>12000000</v>
      </c>
      <c r="K14" s="12" t="s">
        <v>79</v>
      </c>
      <c r="L14" s="12" t="s">
        <v>80</v>
      </c>
      <c r="M14" s="12" t="s">
        <v>81</v>
      </c>
      <c r="N14" s="17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1:30" ht="100" customHeight="1">
      <c r="A15" s="10" t="s">
        <v>5</v>
      </c>
      <c r="B15" s="10" t="s">
        <v>19</v>
      </c>
      <c r="C15" s="10" t="s">
        <v>34</v>
      </c>
      <c r="D15" s="10" t="s">
        <v>45</v>
      </c>
      <c r="E15" s="10">
        <v>1</v>
      </c>
      <c r="F15" s="10">
        <v>0</v>
      </c>
      <c r="G15" s="10" t="s">
        <v>6</v>
      </c>
      <c r="H15" s="10" t="s">
        <v>65</v>
      </c>
      <c r="I15" s="11">
        <v>10000000</v>
      </c>
      <c r="J15" s="11">
        <f t="shared" si="0"/>
        <v>10000000</v>
      </c>
      <c r="K15" s="12" t="s">
        <v>82</v>
      </c>
      <c r="L15" s="12" t="s">
        <v>83</v>
      </c>
      <c r="M15" s="12" t="s">
        <v>84</v>
      </c>
      <c r="N15" s="17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spans="1:30" ht="100" customHeight="1">
      <c r="A16" s="10" t="s">
        <v>7</v>
      </c>
      <c r="B16" s="10" t="s">
        <v>20</v>
      </c>
      <c r="C16" s="10" t="s">
        <v>34</v>
      </c>
      <c r="D16" s="10" t="s">
        <v>45</v>
      </c>
      <c r="E16" s="10">
        <v>1</v>
      </c>
      <c r="F16" s="10">
        <v>0</v>
      </c>
      <c r="G16" s="10" t="s">
        <v>19</v>
      </c>
      <c r="H16" s="10" t="s">
        <v>78</v>
      </c>
      <c r="I16" s="11">
        <v>7000000</v>
      </c>
      <c r="J16" s="11">
        <f t="shared" si="0"/>
        <v>7000000</v>
      </c>
      <c r="K16" s="12" t="s">
        <v>85</v>
      </c>
      <c r="L16" s="12" t="s">
        <v>86</v>
      </c>
      <c r="M16" s="12" t="s">
        <v>87</v>
      </c>
      <c r="N16" s="17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1:30" ht="100" customHeight="1">
      <c r="A17" s="13"/>
      <c r="B17" s="13"/>
      <c r="C17" s="13"/>
      <c r="D17" s="13"/>
      <c r="E17" s="13"/>
      <c r="F17" s="13"/>
      <c r="G17" s="13"/>
      <c r="H17" s="13"/>
      <c r="I17" s="13" t="s">
        <v>88</v>
      </c>
      <c r="J17" s="14">
        <f>SUM(J2:J16)</f>
        <v>188000000</v>
      </c>
      <c r="K17" s="13"/>
      <c r="L17" s="13"/>
      <c r="M17" s="13"/>
      <c r="N17" s="17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spans="1:30" ht="15.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9"/>
      <c r="L18" s="18"/>
      <c r="M18" s="17"/>
      <c r="N18" s="17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1:30" ht="15.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9"/>
      <c r="L19" s="18"/>
      <c r="M19" s="17"/>
      <c r="N19" s="17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spans="1:30" ht="22" customHeight="1">
      <c r="A20" s="20" t="s">
        <v>89</v>
      </c>
      <c r="B20" s="21"/>
      <c r="C20" s="21"/>
      <c r="D20" s="21"/>
      <c r="E20" s="21"/>
      <c r="F20" s="22"/>
      <c r="G20" s="18"/>
      <c r="H20" s="18"/>
      <c r="I20" s="18"/>
      <c r="J20" s="18"/>
      <c r="K20" s="19"/>
      <c r="L20" s="18"/>
      <c r="M20" s="17"/>
      <c r="N20" s="17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1:30" ht="15.5">
      <c r="A21" s="23" t="s">
        <v>90</v>
      </c>
      <c r="B21" s="24" t="s">
        <v>91</v>
      </c>
      <c r="C21" s="25"/>
      <c r="D21" s="24" t="s">
        <v>21</v>
      </c>
      <c r="E21" s="26"/>
      <c r="F21" s="27"/>
      <c r="G21" s="18"/>
      <c r="H21" s="18"/>
      <c r="I21" s="18"/>
      <c r="J21" s="18"/>
      <c r="K21" s="19"/>
      <c r="L21" s="18"/>
      <c r="M21" s="17"/>
      <c r="N21" s="17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spans="1:30" ht="46.5">
      <c r="A22" s="28" t="s">
        <v>92</v>
      </c>
      <c r="B22" s="29">
        <v>1000000000</v>
      </c>
      <c r="C22" s="30"/>
      <c r="D22" s="31" t="s">
        <v>93</v>
      </c>
      <c r="E22" s="30"/>
      <c r="F22" s="32"/>
      <c r="G22" s="18"/>
      <c r="H22" s="18"/>
      <c r="I22" s="18"/>
      <c r="J22" s="18"/>
      <c r="K22" s="19"/>
      <c r="L22" s="18"/>
      <c r="M22" s="17"/>
      <c r="N22" s="17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 ht="46.5">
      <c r="A23" s="33" t="s">
        <v>94</v>
      </c>
      <c r="B23" s="34">
        <v>300000000</v>
      </c>
      <c r="C23" s="30"/>
      <c r="D23" s="35" t="s">
        <v>95</v>
      </c>
      <c r="E23" s="30"/>
      <c r="F23" s="32"/>
      <c r="G23" s="18"/>
      <c r="H23" s="18"/>
      <c r="I23" s="18"/>
      <c r="J23" s="18"/>
      <c r="K23" s="19"/>
      <c r="L23" s="18"/>
      <c r="M23" s="17"/>
      <c r="N23" s="17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spans="1:30" ht="46.5">
      <c r="A24" s="28" t="s">
        <v>96</v>
      </c>
      <c r="B24" s="29">
        <v>90000000</v>
      </c>
      <c r="C24" s="30"/>
      <c r="D24" s="31" t="s">
        <v>97</v>
      </c>
      <c r="E24" s="30"/>
      <c r="F24" s="32"/>
      <c r="G24" s="18"/>
      <c r="H24" s="18"/>
      <c r="I24" s="18"/>
      <c r="J24" s="18"/>
      <c r="K24" s="19"/>
      <c r="L24" s="18"/>
      <c r="M24" s="17"/>
      <c r="N24" s="17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1:30" ht="46.5">
      <c r="A25" s="33" t="s">
        <v>98</v>
      </c>
      <c r="B25" s="34">
        <v>210000000</v>
      </c>
      <c r="C25" s="30"/>
      <c r="D25" s="35" t="s">
        <v>99</v>
      </c>
      <c r="E25" s="30"/>
      <c r="F25" s="32"/>
      <c r="G25" s="18"/>
      <c r="H25" s="18"/>
      <c r="I25" s="18"/>
      <c r="J25" s="18"/>
      <c r="K25" s="19"/>
      <c r="L25" s="18"/>
      <c r="M25" s="17"/>
      <c r="N25" s="17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 spans="1:30" ht="46.5">
      <c r="A26" s="28" t="s">
        <v>100</v>
      </c>
      <c r="B26" s="29">
        <v>258000000</v>
      </c>
      <c r="C26" s="30"/>
      <c r="D26" s="31" t="s">
        <v>101</v>
      </c>
      <c r="E26" s="30"/>
      <c r="F26" s="32"/>
      <c r="G26" s="18"/>
      <c r="H26" s="18"/>
      <c r="I26" s="18"/>
      <c r="J26" s="18"/>
      <c r="K26" s="19"/>
      <c r="L26" s="18"/>
      <c r="M26" s="17"/>
      <c r="N26" s="17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1:30" ht="18" customHeight="1">
      <c r="A27" s="36" t="s">
        <v>102</v>
      </c>
      <c r="B27" s="37">
        <v>42000000</v>
      </c>
      <c r="C27" s="38"/>
      <c r="D27" s="39" t="s">
        <v>103</v>
      </c>
      <c r="E27" s="38"/>
      <c r="F27" s="40"/>
      <c r="G27" s="18"/>
      <c r="H27" s="18"/>
      <c r="I27" s="18"/>
      <c r="J27" s="18"/>
      <c r="K27" s="19"/>
      <c r="L27" s="18"/>
      <c r="M27" s="17"/>
      <c r="N27" s="17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spans="1:30" ht="15.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9"/>
      <c r="L28" s="18"/>
      <c r="M28" s="17"/>
      <c r="N28" s="17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spans="1:30" ht="15.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9"/>
      <c r="L29" s="18"/>
      <c r="M29" s="17"/>
      <c r="N29" s="17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spans="1:30" ht="22" customHeight="1">
      <c r="A30" s="41" t="s">
        <v>104</v>
      </c>
      <c r="B30" s="42"/>
      <c r="C30" s="42"/>
      <c r="D30" s="42"/>
      <c r="E30" s="42"/>
      <c r="F30" s="42"/>
      <c r="G30" s="18"/>
      <c r="H30" s="18"/>
      <c r="I30" s="18"/>
      <c r="J30" s="18"/>
      <c r="K30" s="19"/>
      <c r="L30" s="18"/>
      <c r="M30" s="17"/>
      <c r="N30" s="17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spans="1:30" ht="15.5">
      <c r="A31" s="43" t="s">
        <v>0</v>
      </c>
      <c r="B31" s="43" t="s">
        <v>105</v>
      </c>
      <c r="C31" s="43" t="s">
        <v>106</v>
      </c>
      <c r="D31" s="43" t="s">
        <v>107</v>
      </c>
      <c r="E31" s="43" t="s">
        <v>108</v>
      </c>
      <c r="F31" s="43" t="s">
        <v>109</v>
      </c>
      <c r="G31" s="18"/>
      <c r="H31" s="18"/>
      <c r="I31" s="18"/>
      <c r="J31" s="18"/>
      <c r="K31" s="19"/>
      <c r="L31" s="18"/>
      <c r="M31" s="17"/>
      <c r="N31" s="17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spans="1:30" ht="18" customHeight="1">
      <c r="A32" s="44" t="s">
        <v>4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18"/>
      <c r="H32" s="18"/>
      <c r="I32" s="18"/>
      <c r="J32" s="18"/>
      <c r="K32" s="19"/>
      <c r="L32" s="18"/>
      <c r="M32" s="17"/>
      <c r="N32" s="17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ht="18" customHeight="1">
      <c r="A33" s="45" t="s">
        <v>6</v>
      </c>
      <c r="B33" s="46">
        <v>1</v>
      </c>
      <c r="C33" s="46">
        <v>1</v>
      </c>
      <c r="D33" s="46">
        <v>1</v>
      </c>
      <c r="E33" s="46">
        <v>1</v>
      </c>
      <c r="F33" s="46">
        <v>1</v>
      </c>
      <c r="G33" s="18"/>
      <c r="H33" s="18"/>
      <c r="I33" s="18"/>
      <c r="J33" s="18"/>
      <c r="K33" s="19"/>
      <c r="L33" s="18"/>
      <c r="M33" s="17"/>
      <c r="N33" s="17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spans="1:30" ht="18" customHeight="1">
      <c r="A34" s="44" t="s">
        <v>8</v>
      </c>
      <c r="B34" s="7">
        <v>2</v>
      </c>
      <c r="C34" s="7">
        <v>2</v>
      </c>
      <c r="D34" s="7">
        <v>2</v>
      </c>
      <c r="E34" s="7">
        <v>2</v>
      </c>
      <c r="F34" s="7">
        <v>2</v>
      </c>
      <c r="G34" s="18"/>
      <c r="H34" s="18"/>
      <c r="I34" s="18"/>
      <c r="J34" s="18"/>
      <c r="K34" s="19"/>
      <c r="L34" s="18"/>
      <c r="M34" s="17"/>
      <c r="N34" s="17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ht="46.5">
      <c r="A35" s="45" t="s">
        <v>10</v>
      </c>
      <c r="B35" s="46">
        <v>1</v>
      </c>
      <c r="C35" s="46">
        <v>1</v>
      </c>
      <c r="D35" s="46">
        <v>1</v>
      </c>
      <c r="E35" s="46">
        <v>1</v>
      </c>
      <c r="F35" s="46">
        <v>1</v>
      </c>
      <c r="G35" s="18"/>
      <c r="H35" s="18"/>
      <c r="I35" s="18"/>
      <c r="J35" s="18"/>
      <c r="K35" s="19"/>
      <c r="L35" s="18"/>
      <c r="M35" s="17"/>
      <c r="N35" s="17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spans="1:30" ht="18" customHeight="1">
      <c r="A36" s="44" t="s">
        <v>11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18"/>
      <c r="H36" s="18"/>
      <c r="I36" s="18"/>
      <c r="J36" s="18"/>
      <c r="K36" s="19"/>
      <c r="L36" s="18"/>
      <c r="M36" s="17"/>
      <c r="N36" s="17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spans="1:30" ht="18" customHeight="1">
      <c r="A37" s="45" t="s">
        <v>12</v>
      </c>
      <c r="B37" s="46">
        <v>1</v>
      </c>
      <c r="C37" s="46">
        <v>1</v>
      </c>
      <c r="D37" s="46">
        <v>1</v>
      </c>
      <c r="E37" s="46">
        <v>1</v>
      </c>
      <c r="F37" s="46">
        <v>1</v>
      </c>
      <c r="G37" s="18"/>
      <c r="H37" s="18"/>
      <c r="I37" s="18"/>
      <c r="J37" s="18"/>
      <c r="K37" s="19"/>
      <c r="L37" s="18"/>
      <c r="M37" s="17"/>
      <c r="N37" s="17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spans="1:30" ht="46.5">
      <c r="A38" s="44" t="s">
        <v>110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18"/>
      <c r="H38" s="18"/>
      <c r="I38" s="18"/>
      <c r="J38" s="18"/>
      <c r="K38" s="19"/>
      <c r="L38" s="18"/>
      <c r="M38" s="17"/>
      <c r="N38" s="17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1:30" ht="18" customHeight="1">
      <c r="A39" s="45" t="s">
        <v>13</v>
      </c>
      <c r="B39" s="46">
        <v>1</v>
      </c>
      <c r="C39" s="46">
        <v>1</v>
      </c>
      <c r="D39" s="46">
        <v>2</v>
      </c>
      <c r="E39" s="46">
        <v>2</v>
      </c>
      <c r="F39" s="46">
        <v>2</v>
      </c>
      <c r="G39" s="18"/>
      <c r="H39" s="18"/>
      <c r="I39" s="18"/>
      <c r="J39" s="18"/>
      <c r="K39" s="19"/>
      <c r="L39" s="18"/>
      <c r="M39" s="17"/>
      <c r="N39" s="17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spans="1:30" ht="31">
      <c r="A40" s="44" t="s">
        <v>14</v>
      </c>
      <c r="B40" s="7">
        <v>0</v>
      </c>
      <c r="C40" s="7">
        <v>1</v>
      </c>
      <c r="D40" s="7">
        <v>1</v>
      </c>
      <c r="E40" s="7">
        <v>2</v>
      </c>
      <c r="F40" s="7">
        <v>2</v>
      </c>
      <c r="G40" s="18"/>
      <c r="H40" s="18"/>
      <c r="I40" s="18"/>
      <c r="J40" s="18"/>
      <c r="K40" s="19"/>
      <c r="L40" s="18"/>
      <c r="M40" s="17"/>
      <c r="N40" s="17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spans="1:30" ht="46.5">
      <c r="A41" s="45" t="s">
        <v>15</v>
      </c>
      <c r="B41" s="46">
        <v>0</v>
      </c>
      <c r="C41" s="46">
        <v>1</v>
      </c>
      <c r="D41" s="46">
        <v>1</v>
      </c>
      <c r="E41" s="46">
        <v>1</v>
      </c>
      <c r="F41" s="46">
        <v>1</v>
      </c>
      <c r="G41" s="18"/>
      <c r="H41" s="18"/>
      <c r="I41" s="18"/>
      <c r="J41" s="18"/>
      <c r="K41" s="19"/>
      <c r="L41" s="18"/>
      <c r="M41" s="17"/>
      <c r="N41" s="17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spans="1:30" ht="18" customHeight="1">
      <c r="A42" s="44" t="s">
        <v>16</v>
      </c>
      <c r="B42" s="7">
        <v>1</v>
      </c>
      <c r="C42" s="7">
        <v>1</v>
      </c>
      <c r="D42" s="7">
        <v>1</v>
      </c>
      <c r="E42" s="7">
        <v>1</v>
      </c>
      <c r="F42" s="7">
        <v>1</v>
      </c>
      <c r="G42" s="18"/>
      <c r="H42" s="18"/>
      <c r="I42" s="18"/>
      <c r="J42" s="18"/>
      <c r="K42" s="19"/>
      <c r="L42" s="18"/>
      <c r="M42" s="17"/>
      <c r="N42" s="17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0" ht="18" customHeight="1">
      <c r="A43" s="45" t="s">
        <v>17</v>
      </c>
      <c r="B43" s="46">
        <v>0</v>
      </c>
      <c r="C43" s="46">
        <v>1</v>
      </c>
      <c r="D43" s="46">
        <v>1</v>
      </c>
      <c r="E43" s="46">
        <v>1</v>
      </c>
      <c r="F43" s="46">
        <v>1</v>
      </c>
      <c r="G43" s="18"/>
      <c r="H43" s="18"/>
      <c r="I43" s="18"/>
      <c r="J43" s="18"/>
      <c r="K43" s="19"/>
      <c r="L43" s="18"/>
      <c r="M43" s="17"/>
      <c r="N43" s="17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spans="1:30" ht="31">
      <c r="A44" s="44" t="s">
        <v>18</v>
      </c>
      <c r="B44" s="7">
        <v>0</v>
      </c>
      <c r="C44" s="7">
        <v>0</v>
      </c>
      <c r="D44" s="7">
        <v>1</v>
      </c>
      <c r="E44" s="7">
        <v>1</v>
      </c>
      <c r="F44" s="7">
        <v>1</v>
      </c>
      <c r="G44" s="18"/>
      <c r="H44" s="18"/>
      <c r="I44" s="18"/>
      <c r="J44" s="18"/>
      <c r="K44" s="19"/>
      <c r="L44" s="18"/>
      <c r="M44" s="17"/>
      <c r="N44" s="17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ht="31">
      <c r="A45" s="45" t="s">
        <v>19</v>
      </c>
      <c r="B45" s="46">
        <v>0</v>
      </c>
      <c r="C45" s="46">
        <v>1</v>
      </c>
      <c r="D45" s="46">
        <v>1</v>
      </c>
      <c r="E45" s="46">
        <v>1</v>
      </c>
      <c r="F45" s="46">
        <v>1</v>
      </c>
      <c r="G45" s="18"/>
      <c r="H45" s="18"/>
      <c r="I45" s="18"/>
      <c r="J45" s="18"/>
      <c r="K45" s="19"/>
      <c r="L45" s="18"/>
      <c r="M45" s="17"/>
      <c r="N45" s="17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spans="1:30" ht="18" customHeight="1">
      <c r="A46" s="44" t="s">
        <v>20</v>
      </c>
      <c r="B46" s="7">
        <v>0</v>
      </c>
      <c r="C46" s="7">
        <v>0</v>
      </c>
      <c r="D46" s="7">
        <v>1</v>
      </c>
      <c r="E46" s="7">
        <v>1</v>
      </c>
      <c r="F46" s="7">
        <v>1</v>
      </c>
      <c r="G46" s="18"/>
      <c r="H46" s="18"/>
      <c r="I46" s="18"/>
      <c r="J46" s="18"/>
      <c r="K46" s="19"/>
      <c r="L46" s="18"/>
      <c r="M46" s="17"/>
      <c r="N46" s="17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0" ht="45">
      <c r="A47" s="13" t="s">
        <v>111</v>
      </c>
      <c r="B47" s="13">
        <v>10</v>
      </c>
      <c r="C47" s="13">
        <v>14</v>
      </c>
      <c r="D47" s="13">
        <v>17</v>
      </c>
      <c r="E47" s="13">
        <v>18</v>
      </c>
      <c r="F47" s="13">
        <v>18</v>
      </c>
      <c r="G47" s="18"/>
      <c r="H47" s="18"/>
      <c r="I47" s="18"/>
      <c r="J47" s="18"/>
      <c r="K47" s="19"/>
      <c r="L47" s="18"/>
      <c r="M47" s="17"/>
      <c r="N47" s="17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spans="1:30" ht="15.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9"/>
      <c r="L48" s="18"/>
      <c r="M48" s="17"/>
      <c r="N48" s="17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1:30" ht="15.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9"/>
      <c r="L49" s="18"/>
      <c r="M49" s="17"/>
      <c r="N49" s="17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spans="1:30" ht="22" customHeight="1">
      <c r="A50" s="20" t="s">
        <v>112</v>
      </c>
      <c r="B50" s="21"/>
      <c r="C50" s="21"/>
      <c r="D50" s="21"/>
      <c r="E50" s="21"/>
      <c r="F50" s="22"/>
      <c r="G50" s="18"/>
      <c r="H50" s="18"/>
      <c r="I50" s="18"/>
      <c r="J50" s="18"/>
      <c r="K50" s="19"/>
      <c r="L50" s="18"/>
      <c r="M50" s="17"/>
      <c r="N50" s="17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0" ht="15.5">
      <c r="A51" s="23" t="s">
        <v>2</v>
      </c>
      <c r="B51" s="43" t="s">
        <v>3</v>
      </c>
      <c r="C51" s="24" t="s">
        <v>113</v>
      </c>
      <c r="D51" s="25"/>
      <c r="E51" s="24" t="s">
        <v>114</v>
      </c>
      <c r="F51" s="27"/>
      <c r="G51" s="18"/>
      <c r="H51" s="18"/>
      <c r="I51" s="18"/>
      <c r="J51" s="18"/>
      <c r="K51" s="19"/>
      <c r="L51" s="18"/>
      <c r="M51" s="17"/>
      <c r="N51" s="17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spans="1:30" ht="18" customHeight="1">
      <c r="A52" s="47" t="s">
        <v>105</v>
      </c>
      <c r="B52" s="7">
        <v>9</v>
      </c>
      <c r="C52" s="29">
        <v>165000000</v>
      </c>
      <c r="D52" s="30"/>
      <c r="E52" s="48">
        <v>0.16500000000000001</v>
      </c>
      <c r="F52" s="32"/>
      <c r="G52" s="18"/>
      <c r="H52" s="18"/>
      <c r="I52" s="18"/>
      <c r="J52" s="18"/>
      <c r="K52" s="19"/>
      <c r="L52" s="18"/>
      <c r="M52" s="17"/>
      <c r="N52" s="17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1:30" ht="18" customHeight="1">
      <c r="A53" s="49" t="s">
        <v>106</v>
      </c>
      <c r="B53" s="46">
        <v>13</v>
      </c>
      <c r="C53" s="34">
        <v>213000000</v>
      </c>
      <c r="D53" s="30"/>
      <c r="E53" s="50">
        <v>0.21299999999999999</v>
      </c>
      <c r="F53" s="32"/>
      <c r="G53" s="18"/>
      <c r="H53" s="18"/>
      <c r="I53" s="18"/>
      <c r="J53" s="18"/>
      <c r="K53" s="19"/>
      <c r="L53" s="18"/>
      <c r="M53" s="17"/>
      <c r="N53" s="17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spans="1:30" ht="18" customHeight="1">
      <c r="A54" s="47" t="s">
        <v>107</v>
      </c>
      <c r="B54" s="7">
        <v>15</v>
      </c>
      <c r="C54" s="29">
        <v>243000000</v>
      </c>
      <c r="D54" s="30"/>
      <c r="E54" s="48">
        <v>0.24299999999999999</v>
      </c>
      <c r="F54" s="32"/>
      <c r="G54" s="18"/>
      <c r="H54" s="18"/>
      <c r="I54" s="18"/>
      <c r="J54" s="18"/>
      <c r="K54" s="19"/>
      <c r="L54" s="18"/>
      <c r="M54" s="17"/>
      <c r="N54" s="17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spans="1:30" ht="18" customHeight="1">
      <c r="A55" s="51" t="s">
        <v>108</v>
      </c>
      <c r="B55" s="52">
        <v>15</v>
      </c>
      <c r="C55" s="37">
        <v>258000000</v>
      </c>
      <c r="D55" s="38"/>
      <c r="E55" s="53">
        <v>0.25800000000000001</v>
      </c>
      <c r="F55" s="40"/>
      <c r="G55" s="18"/>
      <c r="H55" s="18"/>
      <c r="I55" s="18"/>
      <c r="J55" s="18"/>
      <c r="K55" s="19"/>
      <c r="L55" s="18"/>
      <c r="M55" s="17"/>
      <c r="N55" s="17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 spans="1:30" ht="15.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9"/>
      <c r="L56" s="18"/>
      <c r="M56" s="17"/>
      <c r="N56" s="17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spans="1:30" ht="15.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9"/>
      <c r="L57" s="18"/>
      <c r="M57" s="17"/>
      <c r="N57" s="17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spans="1:30" ht="15.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9"/>
      <c r="L58" s="18"/>
      <c r="M58" s="17"/>
      <c r="N58" s="17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spans="1:30" ht="15.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9"/>
      <c r="L59" s="18"/>
      <c r="M59" s="17"/>
      <c r="N59" s="17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spans="1:30" ht="15.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9"/>
      <c r="L60" s="18"/>
      <c r="M60" s="17"/>
      <c r="N60" s="17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spans="1:30" ht="15.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9"/>
      <c r="L61" s="18"/>
      <c r="M61" s="17"/>
      <c r="N61" s="17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spans="1:30" ht="15.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9"/>
      <c r="L62" s="18"/>
      <c r="M62" s="17"/>
      <c r="N62" s="17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spans="1:30" ht="15.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9"/>
      <c r="L63" s="18"/>
      <c r="M63" s="17"/>
      <c r="N63" s="17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spans="1:30" ht="15.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9"/>
      <c r="L64" s="18"/>
      <c r="M64" s="17"/>
      <c r="N64" s="17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spans="1:30" ht="15.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9"/>
      <c r="L65" s="18"/>
      <c r="M65" s="17"/>
      <c r="N65" s="17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spans="1:30" ht="15.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9"/>
      <c r="L66" s="18"/>
      <c r="M66" s="17"/>
      <c r="N66" s="17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spans="1:30" ht="15.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9"/>
      <c r="L67" s="18"/>
      <c r="M67" s="17"/>
      <c r="N67" s="17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spans="1:30" ht="15.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9"/>
      <c r="L68" s="18"/>
      <c r="M68" s="17"/>
      <c r="N68" s="17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spans="1:30" ht="15.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9"/>
      <c r="L69" s="18"/>
      <c r="M69" s="17"/>
      <c r="N69" s="17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spans="1:30" ht="15.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9"/>
      <c r="L70" s="18"/>
      <c r="M70" s="17"/>
      <c r="N70" s="17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spans="1:30" ht="15.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9"/>
      <c r="L71" s="18"/>
      <c r="M71" s="17"/>
      <c r="N71" s="17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spans="1:30" ht="15.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9"/>
      <c r="L72" s="18"/>
      <c r="M72" s="17"/>
      <c r="N72" s="17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spans="1:30" ht="15.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9"/>
      <c r="L73" s="18"/>
      <c r="M73" s="17"/>
      <c r="N73" s="17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spans="1:30" ht="15.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9"/>
      <c r="L74" s="18"/>
      <c r="M74" s="17"/>
      <c r="N74" s="17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spans="1:30" ht="15.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9"/>
      <c r="L75" s="18"/>
      <c r="M75" s="17"/>
      <c r="N75" s="17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spans="1:30" ht="15.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9"/>
      <c r="L76" s="18"/>
      <c r="M76" s="17"/>
      <c r="N76" s="17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spans="1:30" ht="15.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9"/>
      <c r="L77" s="18"/>
      <c r="M77" s="17"/>
      <c r="N77" s="17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spans="1:30" ht="15.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9"/>
      <c r="L78" s="18"/>
      <c r="M78" s="17"/>
      <c r="N78" s="17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spans="1:30" ht="15.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9"/>
      <c r="L79" s="18"/>
      <c r="M79" s="17"/>
      <c r="N79" s="17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spans="1:30" ht="15.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9"/>
      <c r="L80" s="18"/>
      <c r="M80" s="17"/>
      <c r="N80" s="17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spans="1:30" ht="15.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9"/>
      <c r="L81" s="18"/>
      <c r="M81" s="17"/>
      <c r="N81" s="17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spans="1:30" ht="15.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9"/>
      <c r="L82" s="18"/>
      <c r="M82" s="17"/>
      <c r="N82" s="17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spans="1:30" ht="15.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9"/>
      <c r="L83" s="18"/>
      <c r="M83" s="17"/>
      <c r="N83" s="17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spans="1:30" ht="15.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9"/>
      <c r="L84" s="18"/>
      <c r="M84" s="17"/>
      <c r="N84" s="17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spans="1:30" ht="15.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9"/>
      <c r="L85" s="18"/>
      <c r="M85" s="17"/>
      <c r="N85" s="17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spans="1:30" ht="15.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9"/>
      <c r="L86" s="18"/>
      <c r="M86" s="17"/>
      <c r="N86" s="17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spans="1:30" ht="15.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9"/>
      <c r="L87" s="18"/>
      <c r="M87" s="17"/>
      <c r="N87" s="17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spans="1:30" ht="15.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9"/>
      <c r="L88" s="18"/>
      <c r="M88" s="17"/>
      <c r="N88" s="17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spans="1:30" ht="15.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9"/>
      <c r="L89" s="18"/>
      <c r="M89" s="17"/>
      <c r="N89" s="17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spans="1:30" ht="15.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9"/>
      <c r="L90" s="18"/>
      <c r="M90" s="17"/>
      <c r="N90" s="17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spans="1:30" ht="15.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9"/>
      <c r="L91" s="18"/>
      <c r="M91" s="17"/>
      <c r="N91" s="17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spans="1:30" ht="15.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9"/>
      <c r="L92" s="18"/>
      <c r="M92" s="17"/>
      <c r="N92" s="17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spans="1:30" ht="15.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9"/>
      <c r="L93" s="18"/>
      <c r="M93" s="17"/>
      <c r="N93" s="17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spans="1:30" ht="15.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9"/>
      <c r="L94" s="18"/>
      <c r="M94" s="17"/>
      <c r="N94" s="17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spans="1:30" ht="15.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9"/>
      <c r="L95" s="18"/>
      <c r="M95" s="17"/>
      <c r="N95" s="17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spans="1:30" ht="15.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9"/>
      <c r="L96" s="18"/>
      <c r="M96" s="17"/>
      <c r="N96" s="17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spans="1:30" ht="15.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9"/>
      <c r="L97" s="18"/>
      <c r="M97" s="17"/>
      <c r="N97" s="17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spans="1:30" ht="15.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9"/>
      <c r="L98" s="18"/>
      <c r="M98" s="17"/>
      <c r="N98" s="17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spans="1:30" ht="15.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9"/>
      <c r="L99" s="18"/>
      <c r="M99" s="17"/>
      <c r="N99" s="17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spans="1:30" ht="15.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9"/>
      <c r="L100" s="18"/>
      <c r="M100" s="17"/>
      <c r="N100" s="17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spans="1:30" ht="15.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9"/>
      <c r="L101" s="18"/>
      <c r="M101" s="17"/>
      <c r="N101" s="17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spans="1:30" ht="15.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9"/>
      <c r="L102" s="18"/>
      <c r="M102" s="17"/>
      <c r="N102" s="17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spans="1:30" ht="15.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9"/>
      <c r="L103" s="18"/>
      <c r="M103" s="17"/>
      <c r="N103" s="17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spans="1:30" ht="15.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9"/>
      <c r="L104" s="18"/>
      <c r="M104" s="17"/>
      <c r="N104" s="17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spans="1:30" ht="15.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9"/>
      <c r="L105" s="18"/>
      <c r="M105" s="17"/>
      <c r="N105" s="17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spans="1:30" ht="15.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9"/>
      <c r="L106" s="18"/>
      <c r="M106" s="17"/>
      <c r="N106" s="17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spans="1:30" ht="15.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9"/>
      <c r="L107" s="18"/>
      <c r="M107" s="17"/>
      <c r="N107" s="17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spans="1:30" ht="15.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9"/>
      <c r="L108" s="18"/>
      <c r="M108" s="17"/>
      <c r="N108" s="17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spans="1:30" ht="15.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9"/>
      <c r="L109" s="18"/>
      <c r="M109" s="17"/>
      <c r="N109" s="17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spans="1:30" ht="15.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9"/>
      <c r="L110" s="18"/>
      <c r="M110" s="17"/>
      <c r="N110" s="17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spans="1:30" ht="15.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9"/>
      <c r="L111" s="18"/>
      <c r="M111" s="17"/>
      <c r="N111" s="17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spans="1:30" ht="15.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9"/>
      <c r="L112" s="18"/>
      <c r="M112" s="17"/>
      <c r="N112" s="17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spans="1:30" ht="15.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9"/>
      <c r="L113" s="18"/>
      <c r="M113" s="17"/>
      <c r="N113" s="17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spans="1:30" ht="15.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9"/>
      <c r="L114" s="18"/>
      <c r="M114" s="17"/>
      <c r="N114" s="17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spans="1:30" ht="15.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9"/>
      <c r="L115" s="18"/>
      <c r="M115" s="17"/>
      <c r="N115" s="17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spans="1:30" ht="15.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9"/>
      <c r="L116" s="18"/>
      <c r="M116" s="17"/>
      <c r="N116" s="17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spans="1:30" ht="15.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9"/>
      <c r="L117" s="18"/>
      <c r="M117" s="17"/>
      <c r="N117" s="17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spans="1:30" ht="15.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9"/>
      <c r="L118" s="18"/>
      <c r="M118" s="17"/>
      <c r="N118" s="17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spans="1:30" ht="15.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9"/>
      <c r="L119" s="18"/>
      <c r="M119" s="17"/>
      <c r="N119" s="17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spans="1:30" ht="15.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9"/>
      <c r="L120" s="18"/>
      <c r="M120" s="17"/>
      <c r="N120" s="17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spans="1:30" ht="15.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9"/>
      <c r="L121" s="18"/>
      <c r="M121" s="17"/>
      <c r="N121" s="17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spans="1:30" ht="15.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9"/>
      <c r="L122" s="18"/>
      <c r="M122" s="17"/>
      <c r="N122" s="17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spans="1:30" ht="15.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9"/>
      <c r="L123" s="18"/>
      <c r="M123" s="17"/>
      <c r="N123" s="17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spans="1:30" ht="15.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9"/>
      <c r="L124" s="18"/>
      <c r="M124" s="17"/>
      <c r="N124" s="17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spans="1:30" ht="15.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9"/>
      <c r="L125" s="18"/>
      <c r="M125" s="17"/>
      <c r="N125" s="17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spans="1:30" ht="15.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9"/>
      <c r="L126" s="18"/>
      <c r="M126" s="17"/>
      <c r="N126" s="17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spans="1:30" ht="15.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9"/>
      <c r="L127" s="18"/>
      <c r="M127" s="17"/>
      <c r="N127" s="17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spans="1:30" ht="15.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9"/>
      <c r="L128" s="18"/>
      <c r="M128" s="17"/>
      <c r="N128" s="17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spans="1:30" ht="15.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9"/>
      <c r="L129" s="18"/>
      <c r="M129" s="17"/>
      <c r="N129" s="17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spans="1:30" ht="15.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9"/>
      <c r="L130" s="18"/>
      <c r="M130" s="17"/>
      <c r="N130" s="17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spans="1:30" ht="15.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9"/>
      <c r="L131" s="18"/>
      <c r="M131" s="17"/>
      <c r="N131" s="17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spans="1:30" ht="15.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9"/>
      <c r="L132" s="18"/>
      <c r="M132" s="17"/>
      <c r="N132" s="17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spans="1:30" ht="15.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9"/>
      <c r="L133" s="18"/>
      <c r="M133" s="17"/>
      <c r="N133" s="17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spans="1:30" ht="15.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9"/>
      <c r="L134" s="18"/>
      <c r="M134" s="17"/>
      <c r="N134" s="17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spans="1:30" ht="15.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9"/>
      <c r="L135" s="18"/>
      <c r="M135" s="17"/>
      <c r="N135" s="17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spans="1:30" ht="15.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9"/>
      <c r="L136" s="18"/>
      <c r="M136" s="17"/>
      <c r="N136" s="17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spans="1:30" ht="15.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9"/>
      <c r="L137" s="18"/>
      <c r="M137" s="17"/>
      <c r="N137" s="17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spans="1:30" ht="15.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9"/>
      <c r="L138" s="18"/>
      <c r="M138" s="17"/>
      <c r="N138" s="17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spans="1:30" ht="15.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9"/>
      <c r="L139" s="18"/>
      <c r="M139" s="17"/>
      <c r="N139" s="17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spans="1:30" ht="15.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9"/>
      <c r="L140" s="18"/>
      <c r="M140" s="17"/>
      <c r="N140" s="17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spans="1:30" ht="15.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9"/>
      <c r="L141" s="18"/>
      <c r="M141" s="17"/>
      <c r="N141" s="17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spans="1:30" ht="15.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9"/>
      <c r="L142" s="18"/>
      <c r="M142" s="17"/>
      <c r="N142" s="17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spans="1:30" ht="15.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9"/>
      <c r="L143" s="18"/>
      <c r="M143" s="17"/>
      <c r="N143" s="17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spans="1:30" ht="15.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9"/>
      <c r="L144" s="18"/>
      <c r="M144" s="17"/>
      <c r="N144" s="17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spans="1:30" ht="15.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9"/>
      <c r="L145" s="18"/>
      <c r="M145" s="17"/>
      <c r="N145" s="17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spans="1:30" ht="15.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9"/>
      <c r="L146" s="18"/>
      <c r="M146" s="17"/>
      <c r="N146" s="17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spans="1:30" ht="15.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9"/>
      <c r="L147" s="18"/>
      <c r="M147" s="17"/>
      <c r="N147" s="17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spans="1:30" ht="15.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9"/>
      <c r="L148" s="18"/>
      <c r="M148" s="17"/>
      <c r="N148" s="17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spans="1:30" ht="15.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9"/>
      <c r="L149" s="18"/>
      <c r="M149" s="17"/>
      <c r="N149" s="17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spans="1:30" ht="15.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9"/>
      <c r="L150" s="18"/>
      <c r="M150" s="17"/>
      <c r="N150" s="17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spans="1:30" ht="15.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9"/>
      <c r="L151" s="18"/>
      <c r="M151" s="17"/>
      <c r="N151" s="17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spans="1:30" ht="15.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9"/>
      <c r="L152" s="18"/>
      <c r="M152" s="17"/>
      <c r="N152" s="17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spans="1:30" ht="15.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9"/>
      <c r="L153" s="18"/>
      <c r="M153" s="17"/>
      <c r="N153" s="17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spans="1:30" ht="15.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9"/>
      <c r="L154" s="18"/>
      <c r="M154" s="17"/>
      <c r="N154" s="17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spans="1:30" ht="15.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9"/>
      <c r="L155" s="18"/>
      <c r="M155" s="17"/>
      <c r="N155" s="17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spans="1:30" ht="15.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9"/>
      <c r="L156" s="18"/>
      <c r="M156" s="17"/>
      <c r="N156" s="17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spans="1:30" ht="15.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9"/>
      <c r="L157" s="18"/>
      <c r="M157" s="17"/>
      <c r="N157" s="17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spans="1:30" ht="15.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9"/>
      <c r="L158" s="18"/>
      <c r="M158" s="17"/>
      <c r="N158" s="17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spans="1:30" ht="15.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9"/>
      <c r="L159" s="18"/>
      <c r="M159" s="17"/>
      <c r="N159" s="17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spans="1:30" ht="15.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9"/>
      <c r="L160" s="18"/>
      <c r="M160" s="17"/>
      <c r="N160" s="17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spans="1:30" ht="15.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9"/>
      <c r="L161" s="18"/>
      <c r="M161" s="17"/>
      <c r="N161" s="17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spans="1:30" ht="15.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9"/>
      <c r="L162" s="18"/>
      <c r="M162" s="17"/>
      <c r="N162" s="17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spans="1:30" ht="15.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9"/>
      <c r="L163" s="18"/>
      <c r="M163" s="17"/>
      <c r="N163" s="17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spans="1:30" ht="15.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9"/>
      <c r="L164" s="18"/>
      <c r="M164" s="17"/>
      <c r="N164" s="17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spans="1:30" ht="15.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9"/>
      <c r="L165" s="18"/>
      <c r="M165" s="17"/>
      <c r="N165" s="17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spans="1:30" ht="15.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9"/>
      <c r="L166" s="18"/>
      <c r="M166" s="17"/>
      <c r="N166" s="17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spans="1:30" ht="15.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9"/>
      <c r="L167" s="18"/>
      <c r="M167" s="17"/>
      <c r="N167" s="17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spans="1:30" ht="15.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9"/>
      <c r="L168" s="18"/>
      <c r="M168" s="17"/>
      <c r="N168" s="17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spans="1:30" ht="15.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9"/>
      <c r="L169" s="18"/>
      <c r="M169" s="17"/>
      <c r="N169" s="17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spans="1:30" ht="15.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9"/>
      <c r="L170" s="18"/>
      <c r="M170" s="17"/>
      <c r="N170" s="17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spans="1:30" ht="15.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9"/>
      <c r="L171" s="18"/>
      <c r="M171" s="17"/>
      <c r="N171" s="17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spans="1:30" ht="15.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9"/>
      <c r="L172" s="18"/>
      <c r="M172" s="17"/>
      <c r="N172" s="17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spans="1:30" ht="15.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9"/>
      <c r="L173" s="18"/>
      <c r="M173" s="17"/>
      <c r="N173" s="17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spans="1:30" ht="15.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9"/>
      <c r="L174" s="18"/>
      <c r="M174" s="17"/>
      <c r="N174" s="17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spans="1:30" ht="15.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9"/>
      <c r="L175" s="18"/>
      <c r="M175" s="17"/>
      <c r="N175" s="17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spans="1:30" ht="15.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9"/>
      <c r="L176" s="18"/>
      <c r="M176" s="17"/>
      <c r="N176" s="17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spans="1:30" ht="15.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9"/>
      <c r="L177" s="18"/>
      <c r="M177" s="17"/>
      <c r="N177" s="17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spans="1:30" ht="15.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9"/>
      <c r="L178" s="18"/>
      <c r="M178" s="17"/>
      <c r="N178" s="17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spans="1:30" ht="15.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9"/>
      <c r="L179" s="18"/>
      <c r="M179" s="17"/>
      <c r="N179" s="17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spans="1:30" ht="15.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9"/>
      <c r="L180" s="18"/>
      <c r="M180" s="17"/>
      <c r="N180" s="17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spans="1:30" ht="15.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9"/>
      <c r="L181" s="18"/>
      <c r="M181" s="17"/>
      <c r="N181" s="17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spans="1:30" ht="15.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9"/>
      <c r="L182" s="18"/>
      <c r="M182" s="17"/>
      <c r="N182" s="17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spans="1:30" ht="15.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9"/>
      <c r="L183" s="18"/>
      <c r="M183" s="17"/>
      <c r="N183" s="17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spans="1:30" ht="15.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9"/>
      <c r="L184" s="18"/>
      <c r="M184" s="17"/>
      <c r="N184" s="17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spans="1:30" ht="15.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9"/>
      <c r="L185" s="18"/>
      <c r="M185" s="17"/>
      <c r="N185" s="17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spans="1:30" ht="15.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9"/>
      <c r="L186" s="18"/>
      <c r="M186" s="17"/>
      <c r="N186" s="17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spans="1:30" ht="15.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9"/>
      <c r="L187" s="18"/>
      <c r="M187" s="17"/>
      <c r="N187" s="17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spans="1:30" ht="15.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9"/>
      <c r="L188" s="18"/>
      <c r="M188" s="17"/>
      <c r="N188" s="17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spans="1:30" ht="15.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9"/>
      <c r="L189" s="18"/>
      <c r="M189" s="17"/>
      <c r="N189" s="17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spans="1:30" ht="15.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9"/>
      <c r="L190" s="18"/>
      <c r="M190" s="17"/>
      <c r="N190" s="17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spans="1:30" ht="15.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9"/>
      <c r="L191" s="18"/>
      <c r="M191" s="17"/>
      <c r="N191" s="17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spans="1:30" ht="15.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9"/>
      <c r="L192" s="18"/>
      <c r="M192" s="17"/>
      <c r="N192" s="17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spans="1:30" ht="15.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9"/>
      <c r="L193" s="18"/>
      <c r="M193" s="17"/>
      <c r="N193" s="17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spans="1:30" ht="15.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9"/>
      <c r="L194" s="18"/>
      <c r="M194" s="17"/>
      <c r="N194" s="17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spans="1:30" ht="15.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9"/>
      <c r="L195" s="18"/>
      <c r="M195" s="17"/>
      <c r="N195" s="17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spans="1:30" ht="15.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9"/>
      <c r="L196" s="18"/>
      <c r="M196" s="17"/>
      <c r="N196" s="17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spans="1:30" ht="15.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9"/>
      <c r="L197" s="18"/>
      <c r="M197" s="17"/>
      <c r="N197" s="17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spans="1:30" ht="15.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9"/>
      <c r="L198" s="18"/>
      <c r="M198" s="17"/>
      <c r="N198" s="17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spans="1:30" ht="15.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9"/>
      <c r="L199" s="18"/>
      <c r="M199" s="17"/>
      <c r="N199" s="17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spans="1:30" ht="15.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9"/>
      <c r="L200" s="18"/>
      <c r="M200" s="17"/>
      <c r="N200" s="17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spans="1:30" ht="15.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9"/>
      <c r="L201" s="18"/>
      <c r="M201" s="17"/>
      <c r="N201" s="17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spans="1:30" ht="15.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9"/>
      <c r="L202" s="18"/>
      <c r="M202" s="17"/>
      <c r="N202" s="17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spans="1:30" ht="15.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9"/>
      <c r="L203" s="18"/>
      <c r="M203" s="17"/>
      <c r="N203" s="17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spans="1:30" ht="15.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9"/>
      <c r="L204" s="18"/>
      <c r="M204" s="17"/>
      <c r="N204" s="17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spans="1:30" ht="15.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9"/>
      <c r="L205" s="18"/>
      <c r="M205" s="17"/>
      <c r="N205" s="17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spans="1:30" ht="15.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9"/>
      <c r="L206" s="18"/>
      <c r="M206" s="17"/>
      <c r="N206" s="17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spans="1:30" ht="15.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9"/>
      <c r="L207" s="18"/>
      <c r="M207" s="17"/>
      <c r="N207" s="17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spans="1:30" ht="15.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9"/>
      <c r="L208" s="18"/>
      <c r="M208" s="17"/>
      <c r="N208" s="17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spans="1:30" ht="15.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9"/>
      <c r="L209" s="18"/>
      <c r="M209" s="17"/>
      <c r="N209" s="17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spans="1:30" ht="15.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9"/>
      <c r="L210" s="18"/>
      <c r="M210" s="17"/>
      <c r="N210" s="17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spans="1:30" ht="15.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9"/>
      <c r="L211" s="18"/>
      <c r="M211" s="17"/>
      <c r="N211" s="17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spans="1:30" ht="15.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9"/>
      <c r="L212" s="18"/>
      <c r="M212" s="17"/>
      <c r="N212" s="17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spans="1:30" ht="15.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9"/>
      <c r="L213" s="18"/>
      <c r="M213" s="17"/>
      <c r="N213" s="17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spans="1:30" ht="15.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9"/>
      <c r="L214" s="18"/>
      <c r="M214" s="17"/>
      <c r="N214" s="17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spans="1:30" ht="15.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9"/>
      <c r="L215" s="18"/>
      <c r="M215" s="17"/>
      <c r="N215" s="17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spans="1:30" ht="15.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9"/>
      <c r="L216" s="18"/>
      <c r="M216" s="17"/>
      <c r="N216" s="17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spans="1:30" ht="15.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9"/>
      <c r="L217" s="18"/>
      <c r="M217" s="17"/>
      <c r="N217" s="17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spans="1:30" ht="15.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9"/>
      <c r="L218" s="18"/>
      <c r="M218" s="17"/>
      <c r="N218" s="17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spans="1:30" ht="15.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9"/>
      <c r="L219" s="18"/>
      <c r="M219" s="17"/>
      <c r="N219" s="17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spans="1:30" ht="15.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9"/>
      <c r="L220" s="18"/>
      <c r="M220" s="17"/>
      <c r="N220" s="17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spans="1:30" ht="15.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9"/>
      <c r="L221" s="18"/>
      <c r="M221" s="17"/>
      <c r="N221" s="17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spans="1:30" ht="15.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9"/>
      <c r="L222" s="18"/>
      <c r="M222" s="17"/>
      <c r="N222" s="17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spans="1:30" ht="15.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9"/>
      <c r="L223" s="18"/>
      <c r="M223" s="17"/>
      <c r="N223" s="17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spans="1:30" ht="15.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9"/>
      <c r="L224" s="18"/>
      <c r="M224" s="17"/>
      <c r="N224" s="17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spans="1:30" ht="15.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9"/>
      <c r="L225" s="18"/>
      <c r="M225" s="17"/>
      <c r="N225" s="17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spans="1:30" ht="15.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9"/>
      <c r="L226" s="18"/>
      <c r="M226" s="17"/>
      <c r="N226" s="17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spans="1:30" ht="15.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9"/>
      <c r="L227" s="18"/>
      <c r="M227" s="17"/>
      <c r="N227" s="17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spans="1:30" ht="15.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9"/>
      <c r="L228" s="18"/>
      <c r="M228" s="17"/>
      <c r="N228" s="17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spans="1:30" ht="15.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9"/>
      <c r="L229" s="18"/>
      <c r="M229" s="17"/>
      <c r="N229" s="17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spans="1:30" ht="15.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9"/>
      <c r="L230" s="18"/>
      <c r="M230" s="17"/>
      <c r="N230" s="17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spans="1:30" ht="15.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9"/>
      <c r="L231" s="18"/>
      <c r="M231" s="17"/>
      <c r="N231" s="17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spans="1:30" ht="15.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9"/>
      <c r="L232" s="18"/>
      <c r="M232" s="17"/>
      <c r="N232" s="17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spans="1:30" ht="15.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9"/>
      <c r="L233" s="18"/>
      <c r="M233" s="17"/>
      <c r="N233" s="17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spans="1:30" ht="15.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9"/>
      <c r="L234" s="18"/>
      <c r="M234" s="17"/>
      <c r="N234" s="17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spans="1:30" ht="15.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9"/>
      <c r="L235" s="18"/>
      <c r="M235" s="17"/>
      <c r="N235" s="17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spans="1:30" ht="15.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9"/>
      <c r="L236" s="18"/>
      <c r="M236" s="17"/>
      <c r="N236" s="17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spans="1:30" ht="15.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9"/>
      <c r="L237" s="18"/>
      <c r="M237" s="17"/>
      <c r="N237" s="17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spans="1:30" ht="15.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9"/>
      <c r="L238" s="18"/>
      <c r="M238" s="17"/>
      <c r="N238" s="17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spans="1:30" ht="15.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9"/>
      <c r="L239" s="18"/>
      <c r="M239" s="17"/>
      <c r="N239" s="17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spans="1:30" ht="15.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9"/>
      <c r="L240" s="18"/>
      <c r="M240" s="17"/>
      <c r="N240" s="17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spans="1:30" ht="15.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9"/>
      <c r="L241" s="18"/>
      <c r="M241" s="17"/>
      <c r="N241" s="17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spans="1:30" ht="15.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9"/>
      <c r="L242" s="18"/>
      <c r="M242" s="17"/>
      <c r="N242" s="17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spans="1:30" ht="15.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9"/>
      <c r="L243" s="18"/>
      <c r="M243" s="17"/>
      <c r="N243" s="17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spans="1:30" ht="15.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9"/>
      <c r="L244" s="18"/>
      <c r="M244" s="17"/>
      <c r="N244" s="17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spans="1:30" ht="15.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9"/>
      <c r="L245" s="18"/>
      <c r="M245" s="17"/>
      <c r="N245" s="17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spans="1:30" ht="15.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9"/>
      <c r="L246" s="18"/>
      <c r="M246" s="17"/>
      <c r="N246" s="17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spans="1:30" ht="15.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9"/>
      <c r="L247" s="18"/>
      <c r="M247" s="17"/>
      <c r="N247" s="17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spans="1:30" ht="15.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9"/>
      <c r="L248" s="18"/>
      <c r="M248" s="17"/>
      <c r="N248" s="17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spans="1:30" ht="15.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9"/>
      <c r="L249" s="18"/>
      <c r="M249" s="17"/>
      <c r="N249" s="17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spans="1:30" ht="15.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9"/>
      <c r="L250" s="18"/>
      <c r="M250" s="17"/>
      <c r="N250" s="17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spans="1:30" ht="15.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9"/>
      <c r="L251" s="18"/>
      <c r="M251" s="17"/>
      <c r="N251" s="17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spans="1:30" ht="15.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9"/>
      <c r="L252" s="18"/>
      <c r="M252" s="17"/>
      <c r="N252" s="17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spans="1:30" ht="15.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9"/>
      <c r="L253" s="18"/>
      <c r="M253" s="17"/>
      <c r="N253" s="17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spans="1:30" ht="15.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9"/>
      <c r="L254" s="18"/>
      <c r="M254" s="17"/>
      <c r="N254" s="17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spans="1:30" ht="15.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9"/>
      <c r="L255" s="18"/>
      <c r="M255" s="17"/>
      <c r="N255" s="17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spans="1:30" ht="15.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9"/>
      <c r="L256" s="18"/>
      <c r="M256" s="17"/>
      <c r="N256" s="17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spans="1:30" ht="15.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9"/>
      <c r="L257" s="18"/>
      <c r="M257" s="17"/>
      <c r="N257" s="17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spans="1:30" ht="15.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9"/>
      <c r="L258" s="18"/>
      <c r="M258" s="17"/>
      <c r="N258" s="17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spans="1:30" ht="15.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9"/>
      <c r="L259" s="18"/>
      <c r="M259" s="17"/>
      <c r="N259" s="17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spans="1:30" ht="15.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9"/>
      <c r="L260" s="18"/>
      <c r="M260" s="17"/>
      <c r="N260" s="17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spans="1:30" ht="15.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9"/>
      <c r="L261" s="18"/>
      <c r="M261" s="17"/>
      <c r="N261" s="17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spans="1:30" ht="15.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9"/>
      <c r="L262" s="18"/>
      <c r="M262" s="17"/>
      <c r="N262" s="17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spans="1:30" ht="15.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9"/>
      <c r="L263" s="18"/>
      <c r="M263" s="17"/>
      <c r="N263" s="17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spans="1:30" ht="15.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9"/>
      <c r="L264" s="18"/>
      <c r="M264" s="17"/>
      <c r="N264" s="17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spans="1:30" ht="15.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9"/>
      <c r="L265" s="18"/>
      <c r="M265" s="17"/>
      <c r="N265" s="17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spans="1:30" ht="15.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9"/>
      <c r="L266" s="18"/>
      <c r="M266" s="17"/>
      <c r="N266" s="17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spans="1:30" ht="15.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9"/>
      <c r="L267" s="18"/>
      <c r="M267" s="17"/>
      <c r="N267" s="17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spans="1:30" ht="15.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9"/>
      <c r="L268" s="18"/>
      <c r="M268" s="17"/>
      <c r="N268" s="17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spans="1:30" ht="15.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9"/>
      <c r="L269" s="18"/>
      <c r="M269" s="17"/>
      <c r="N269" s="17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spans="1:30" ht="15.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9"/>
      <c r="L270" s="18"/>
      <c r="M270" s="17"/>
      <c r="N270" s="17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spans="1:30" ht="15.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9"/>
      <c r="L271" s="18"/>
      <c r="M271" s="17"/>
      <c r="N271" s="17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spans="1:30" ht="15.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9"/>
      <c r="L272" s="18"/>
      <c r="M272" s="17"/>
      <c r="N272" s="17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spans="1:30" ht="15.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9"/>
      <c r="L273" s="18"/>
      <c r="M273" s="17"/>
      <c r="N273" s="17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spans="1:30" ht="15.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9"/>
      <c r="L274" s="18"/>
      <c r="M274" s="17"/>
      <c r="N274" s="17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spans="1:30" ht="15.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9"/>
      <c r="L275" s="18"/>
      <c r="M275" s="17"/>
      <c r="N275" s="17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spans="1:30" ht="15.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9"/>
      <c r="L276" s="18"/>
      <c r="M276" s="17"/>
      <c r="N276" s="17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spans="1:30" ht="15.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9"/>
      <c r="L277" s="18"/>
      <c r="M277" s="17"/>
      <c r="N277" s="17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spans="1:30" ht="15.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9"/>
      <c r="L278" s="18"/>
      <c r="M278" s="17"/>
      <c r="N278" s="17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spans="1:30" ht="15.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9"/>
      <c r="L279" s="18"/>
      <c r="M279" s="17"/>
      <c r="N279" s="17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spans="1:30" ht="15.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9"/>
      <c r="L280" s="18"/>
      <c r="M280" s="17"/>
      <c r="N280" s="17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spans="1:30" ht="15.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9"/>
      <c r="L281" s="18"/>
      <c r="M281" s="17"/>
      <c r="N281" s="17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spans="1:30" ht="15.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9"/>
      <c r="L282" s="18"/>
      <c r="M282" s="17"/>
      <c r="N282" s="17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spans="1:30" ht="15.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9"/>
      <c r="L283" s="18"/>
      <c r="M283" s="17"/>
      <c r="N283" s="17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spans="1:30" ht="15.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9"/>
      <c r="L284" s="18"/>
      <c r="M284" s="17"/>
      <c r="N284" s="17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spans="1:30" ht="15.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9"/>
      <c r="L285" s="18"/>
      <c r="M285" s="17"/>
      <c r="N285" s="17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spans="1:30" ht="15.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9"/>
      <c r="L286" s="18"/>
      <c r="M286" s="17"/>
      <c r="N286" s="17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spans="1:30" ht="15.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9"/>
      <c r="L287" s="18"/>
      <c r="M287" s="17"/>
      <c r="N287" s="17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spans="1:30" ht="15.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9"/>
      <c r="L288" s="18"/>
      <c r="M288" s="17"/>
      <c r="N288" s="17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spans="1:30" ht="15.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9"/>
      <c r="L289" s="18"/>
      <c r="M289" s="17"/>
      <c r="N289" s="17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spans="1:30" ht="15.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9"/>
      <c r="L290" s="18"/>
      <c r="M290" s="17"/>
      <c r="N290" s="17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spans="1:30" ht="15.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9"/>
      <c r="L291" s="18"/>
      <c r="M291" s="17"/>
      <c r="N291" s="17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spans="1:30" ht="15.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9"/>
      <c r="L292" s="18"/>
      <c r="M292" s="17"/>
      <c r="N292" s="17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spans="1:30" ht="15.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9"/>
      <c r="L293" s="18"/>
      <c r="M293" s="17"/>
      <c r="N293" s="17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spans="1:30" ht="15.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9"/>
      <c r="L294" s="18"/>
      <c r="M294" s="17"/>
      <c r="N294" s="17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spans="1:30" ht="15.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9"/>
      <c r="L295" s="18"/>
      <c r="M295" s="17"/>
      <c r="N295" s="17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spans="1:30" ht="15.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9"/>
      <c r="L296" s="18"/>
      <c r="M296" s="17"/>
      <c r="N296" s="17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spans="1:30" ht="15.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9"/>
      <c r="L297" s="18"/>
      <c r="M297" s="17"/>
      <c r="N297" s="17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spans="1:30" ht="15.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9"/>
      <c r="L298" s="18"/>
      <c r="M298" s="17"/>
      <c r="N298" s="17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spans="1:30" ht="15.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9"/>
      <c r="L299" s="18"/>
      <c r="M299" s="17"/>
      <c r="N299" s="17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spans="1:30" ht="15.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9"/>
      <c r="L300" s="18"/>
      <c r="M300" s="17"/>
      <c r="N300" s="17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spans="1:30" ht="15.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9"/>
      <c r="L301" s="18"/>
      <c r="M301" s="17"/>
      <c r="N301" s="17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spans="1:30" ht="15.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9"/>
      <c r="L302" s="18"/>
      <c r="M302" s="17"/>
      <c r="N302" s="17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spans="1:30" ht="15.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9"/>
      <c r="L303" s="18"/>
      <c r="M303" s="17"/>
      <c r="N303" s="17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spans="1:30" ht="15.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9"/>
      <c r="L304" s="18"/>
      <c r="M304" s="17"/>
      <c r="N304" s="17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spans="1:30" ht="15.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9"/>
      <c r="L305" s="18"/>
      <c r="M305" s="17"/>
      <c r="N305" s="17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spans="1:30" ht="15.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9"/>
      <c r="L306" s="18"/>
      <c r="M306" s="17"/>
      <c r="N306" s="17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spans="1:30" ht="15.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9"/>
      <c r="L307" s="18"/>
      <c r="M307" s="17"/>
      <c r="N307" s="17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spans="1:30" ht="15.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9"/>
      <c r="L308" s="18"/>
      <c r="M308" s="17"/>
      <c r="N308" s="17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spans="1:30" ht="15.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9"/>
      <c r="L309" s="18"/>
      <c r="M309" s="17"/>
      <c r="N309" s="17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spans="1:30" ht="15.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9"/>
      <c r="L310" s="18"/>
      <c r="M310" s="17"/>
      <c r="N310" s="17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spans="1:30" ht="15.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9"/>
      <c r="L311" s="18"/>
      <c r="M311" s="17"/>
      <c r="N311" s="17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spans="1:30" ht="15.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9"/>
      <c r="L312" s="18"/>
      <c r="M312" s="17"/>
      <c r="N312" s="17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spans="1:30" ht="15.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9"/>
      <c r="L313" s="18"/>
      <c r="M313" s="17"/>
      <c r="N313" s="17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spans="1:30" ht="15.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9"/>
      <c r="L314" s="18"/>
      <c r="M314" s="17"/>
      <c r="N314" s="17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spans="1:30" ht="15.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9"/>
      <c r="L315" s="18"/>
      <c r="M315" s="17"/>
      <c r="N315" s="17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spans="1:30" ht="15.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9"/>
      <c r="L316" s="18"/>
      <c r="M316" s="17"/>
      <c r="N316" s="17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spans="1:30" ht="15.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9"/>
      <c r="L317" s="18"/>
      <c r="M317" s="17"/>
      <c r="N317" s="17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spans="1:30" ht="15.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9"/>
      <c r="L318" s="18"/>
      <c r="M318" s="17"/>
      <c r="N318" s="17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spans="1:30" ht="15.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9"/>
      <c r="L319" s="18"/>
      <c r="M319" s="17"/>
      <c r="N319" s="17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spans="1:30" ht="15.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9"/>
      <c r="L320" s="18"/>
      <c r="M320" s="17"/>
      <c r="N320" s="17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spans="1:30" ht="15.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9"/>
      <c r="L321" s="18"/>
      <c r="M321" s="17"/>
      <c r="N321" s="17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spans="1:30" ht="15.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9"/>
      <c r="L322" s="18"/>
      <c r="M322" s="17"/>
      <c r="N322" s="17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spans="1:30" ht="15.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9"/>
      <c r="L323" s="18"/>
      <c r="M323" s="17"/>
      <c r="N323" s="17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spans="1:30" ht="15.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9"/>
      <c r="L324" s="18"/>
      <c r="M324" s="17"/>
      <c r="N324" s="17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spans="1:30" ht="15.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9"/>
      <c r="L325" s="18"/>
      <c r="M325" s="17"/>
      <c r="N325" s="17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spans="1:30" ht="15.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9"/>
      <c r="L326" s="18"/>
      <c r="M326" s="17"/>
      <c r="N326" s="17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spans="1:30" ht="15.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9"/>
      <c r="L327" s="18"/>
      <c r="M327" s="17"/>
      <c r="N327" s="17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spans="1:30" ht="15.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9"/>
      <c r="L328" s="18"/>
      <c r="M328" s="17"/>
      <c r="N328" s="17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spans="1:30" ht="15.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9"/>
      <c r="L329" s="18"/>
      <c r="M329" s="17"/>
      <c r="N329" s="17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spans="1:30" ht="15.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9"/>
      <c r="L330" s="18"/>
      <c r="M330" s="17"/>
      <c r="N330" s="17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spans="1:30" ht="15.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9"/>
      <c r="L331" s="18"/>
      <c r="M331" s="17"/>
      <c r="N331" s="17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spans="1:30" ht="15.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9"/>
      <c r="L332" s="18"/>
      <c r="M332" s="17"/>
      <c r="N332" s="17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spans="1:30" ht="15.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9"/>
      <c r="L333" s="18"/>
      <c r="M333" s="17"/>
      <c r="N333" s="17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spans="1:30" ht="15.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9"/>
      <c r="L334" s="18"/>
      <c r="M334" s="17"/>
      <c r="N334" s="17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spans="1:30" ht="15.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9"/>
      <c r="L335" s="18"/>
      <c r="M335" s="17"/>
      <c r="N335" s="17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spans="1:30" ht="15.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9"/>
      <c r="L336" s="18"/>
      <c r="M336" s="17"/>
      <c r="N336" s="17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spans="1:30" ht="15.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9"/>
      <c r="L337" s="18"/>
      <c r="M337" s="17"/>
      <c r="N337" s="17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spans="1:30" ht="15.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9"/>
      <c r="L338" s="18"/>
      <c r="M338" s="17"/>
      <c r="N338" s="17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spans="1:30" ht="15.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9"/>
      <c r="L339" s="18"/>
      <c r="M339" s="17"/>
      <c r="N339" s="17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spans="1:30" ht="15.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9"/>
      <c r="L340" s="18"/>
      <c r="M340" s="17"/>
      <c r="N340" s="17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spans="1:30" ht="15.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9"/>
      <c r="L341" s="18"/>
      <c r="M341" s="17"/>
      <c r="N341" s="17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spans="1:30" ht="15.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9"/>
      <c r="L342" s="18"/>
      <c r="M342" s="17"/>
      <c r="N342" s="17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spans="1:30" ht="15.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9"/>
      <c r="L343" s="18"/>
      <c r="M343" s="17"/>
      <c r="N343" s="17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spans="1:30" ht="15.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9"/>
      <c r="L344" s="18"/>
      <c r="M344" s="17"/>
      <c r="N344" s="17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spans="1:30" ht="15.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9"/>
      <c r="L345" s="18"/>
      <c r="M345" s="17"/>
      <c r="N345" s="17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spans="1:30" ht="15.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9"/>
      <c r="L346" s="18"/>
      <c r="M346" s="17"/>
      <c r="N346" s="17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spans="1:30" ht="15.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9"/>
      <c r="L347" s="18"/>
      <c r="M347" s="17"/>
      <c r="N347" s="17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spans="1:30" ht="15.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9"/>
      <c r="L348" s="18"/>
      <c r="M348" s="17"/>
      <c r="N348" s="17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spans="1:30" ht="15.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9"/>
      <c r="L349" s="18"/>
      <c r="M349" s="17"/>
      <c r="N349" s="17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spans="1:30" ht="15.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9"/>
      <c r="L350" s="18"/>
      <c r="M350" s="17"/>
      <c r="N350" s="17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spans="1:30" ht="15.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9"/>
      <c r="L351" s="18"/>
      <c r="M351" s="17"/>
      <c r="N351" s="17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spans="1:30" ht="15.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9"/>
      <c r="L352" s="18"/>
      <c r="M352" s="17"/>
      <c r="N352" s="17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spans="1:30" ht="15.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9"/>
      <c r="L353" s="18"/>
      <c r="M353" s="17"/>
      <c r="N353" s="17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spans="1:30" ht="15.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9"/>
      <c r="L354" s="18"/>
      <c r="M354" s="17"/>
      <c r="N354" s="17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spans="1:30" ht="15.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9"/>
      <c r="L355" s="18"/>
      <c r="M355" s="17"/>
      <c r="N355" s="17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spans="1:30" ht="15.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9"/>
      <c r="L356" s="18"/>
      <c r="M356" s="17"/>
      <c r="N356" s="17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spans="1:30" ht="15.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9"/>
      <c r="L357" s="18"/>
      <c r="M357" s="17"/>
      <c r="N357" s="17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spans="1:30" ht="15.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9"/>
      <c r="L358" s="18"/>
      <c r="M358" s="17"/>
      <c r="N358" s="17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spans="1:30" ht="15.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9"/>
      <c r="L359" s="18"/>
      <c r="M359" s="17"/>
      <c r="N359" s="17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spans="1:30" ht="15.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9"/>
      <c r="L360" s="18"/>
      <c r="M360" s="17"/>
      <c r="N360" s="17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spans="1:30" ht="15.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9"/>
      <c r="L361" s="18"/>
      <c r="M361" s="17"/>
      <c r="N361" s="17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spans="1:30" ht="15.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9"/>
      <c r="L362" s="18"/>
      <c r="M362" s="17"/>
      <c r="N362" s="17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spans="1:30" ht="15.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9"/>
      <c r="L363" s="18"/>
      <c r="M363" s="17"/>
      <c r="N363" s="17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spans="1:30" ht="15.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9"/>
      <c r="L364" s="18"/>
      <c r="M364" s="17"/>
      <c r="N364" s="17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spans="1:30" ht="15.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9"/>
      <c r="L365" s="18"/>
      <c r="M365" s="17"/>
      <c r="N365" s="17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spans="1:30" ht="15.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9"/>
      <c r="L366" s="18"/>
      <c r="M366" s="17"/>
      <c r="N366" s="17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spans="1:30" ht="15.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9"/>
      <c r="L367" s="18"/>
      <c r="M367" s="17"/>
      <c r="N367" s="17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spans="1:30" ht="15.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9"/>
      <c r="L368" s="18"/>
      <c r="M368" s="17"/>
      <c r="N368" s="17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spans="1:30" ht="15.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9"/>
      <c r="L369" s="18"/>
      <c r="M369" s="17"/>
      <c r="N369" s="17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spans="1:30" ht="15.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9"/>
      <c r="L370" s="18"/>
      <c r="M370" s="17"/>
      <c r="N370" s="17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spans="1:30" ht="15.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9"/>
      <c r="L371" s="18"/>
      <c r="M371" s="17"/>
      <c r="N371" s="17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spans="1:30" ht="15.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9"/>
      <c r="L372" s="18"/>
      <c r="M372" s="17"/>
      <c r="N372" s="17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spans="1:30" ht="15.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9"/>
      <c r="L373" s="18"/>
      <c r="M373" s="17"/>
      <c r="N373" s="17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spans="1:30" ht="15.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9"/>
      <c r="L374" s="18"/>
      <c r="M374" s="17"/>
      <c r="N374" s="17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spans="1:30" ht="15.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9"/>
      <c r="L375" s="18"/>
      <c r="M375" s="17"/>
      <c r="N375" s="17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spans="1:30" ht="15.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9"/>
      <c r="L376" s="18"/>
      <c r="M376" s="17"/>
      <c r="N376" s="17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spans="1:30" ht="15.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9"/>
      <c r="L377" s="18"/>
      <c r="M377" s="17"/>
      <c r="N377" s="17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spans="1:30" ht="15.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9"/>
      <c r="L378" s="18"/>
      <c r="M378" s="17"/>
      <c r="N378" s="17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spans="1:30" ht="15.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9"/>
      <c r="L379" s="18"/>
      <c r="M379" s="17"/>
      <c r="N379" s="17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spans="1:30" ht="15.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9"/>
      <c r="L380" s="18"/>
      <c r="M380" s="17"/>
      <c r="N380" s="17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spans="1:30" ht="15.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9"/>
      <c r="L381" s="18"/>
      <c r="M381" s="17"/>
      <c r="N381" s="17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spans="1:30" ht="15.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9"/>
      <c r="L382" s="18"/>
      <c r="M382" s="17"/>
      <c r="N382" s="17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spans="1:30" ht="15.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9"/>
      <c r="L383" s="18"/>
      <c r="M383" s="17"/>
      <c r="N383" s="17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spans="1:30" ht="15.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9"/>
      <c r="L384" s="18"/>
      <c r="M384" s="17"/>
      <c r="N384" s="17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spans="1:30" ht="15.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9"/>
      <c r="L385" s="18"/>
      <c r="M385" s="17"/>
      <c r="N385" s="17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spans="1:30" ht="15.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9"/>
      <c r="L386" s="18"/>
      <c r="M386" s="17"/>
      <c r="N386" s="17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spans="1:30" ht="15.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9"/>
      <c r="L387" s="18"/>
      <c r="M387" s="17"/>
      <c r="N387" s="17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spans="1:30" ht="15.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9"/>
      <c r="L388" s="18"/>
      <c r="M388" s="17"/>
      <c r="N388" s="17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spans="1:30" ht="15.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9"/>
      <c r="L389" s="18"/>
      <c r="M389" s="17"/>
      <c r="N389" s="17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spans="1:30" ht="15.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9"/>
      <c r="L390" s="18"/>
      <c r="M390" s="17"/>
      <c r="N390" s="17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spans="1:30" ht="15.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9"/>
      <c r="L391" s="18"/>
      <c r="M391" s="17"/>
      <c r="N391" s="17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spans="1:30" ht="15.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9"/>
      <c r="L392" s="18"/>
      <c r="M392" s="17"/>
      <c r="N392" s="17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spans="1:30" ht="15.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9"/>
      <c r="L393" s="18"/>
      <c r="M393" s="17"/>
      <c r="N393" s="17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spans="1:30" ht="15.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9"/>
      <c r="L394" s="18"/>
      <c r="M394" s="17"/>
      <c r="N394" s="17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spans="1:30" ht="15.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9"/>
      <c r="L395" s="18"/>
      <c r="M395" s="17"/>
      <c r="N395" s="17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spans="1:30" ht="15.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9"/>
      <c r="L396" s="18"/>
      <c r="M396" s="17"/>
      <c r="N396" s="17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spans="1:30" ht="15.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9"/>
      <c r="L397" s="18"/>
      <c r="M397" s="17"/>
      <c r="N397" s="17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spans="1:30" ht="15.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9"/>
      <c r="L398" s="18"/>
      <c r="M398" s="17"/>
      <c r="N398" s="17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spans="1:30" ht="15.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9"/>
      <c r="L399" s="18"/>
      <c r="M399" s="17"/>
      <c r="N399" s="17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spans="1:30" ht="15.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9"/>
      <c r="L400" s="18"/>
      <c r="M400" s="17"/>
      <c r="N400" s="17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spans="1:30" ht="15.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9"/>
      <c r="L401" s="18"/>
      <c r="M401" s="17"/>
      <c r="N401" s="17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spans="1:30" ht="15.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9"/>
      <c r="L402" s="18"/>
      <c r="M402" s="17"/>
      <c r="N402" s="17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spans="1:30" ht="15.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9"/>
      <c r="L403" s="18"/>
      <c r="M403" s="17"/>
      <c r="N403" s="17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spans="1:30" ht="15.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9"/>
      <c r="L404" s="18"/>
      <c r="M404" s="17"/>
      <c r="N404" s="17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spans="1:30" ht="15.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9"/>
      <c r="L405" s="18"/>
      <c r="M405" s="17"/>
      <c r="N405" s="17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spans="1:30" ht="15.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9"/>
      <c r="L406" s="18"/>
      <c r="M406" s="17"/>
      <c r="N406" s="17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spans="1:30" ht="15.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9"/>
      <c r="L407" s="18"/>
      <c r="M407" s="17"/>
      <c r="N407" s="17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spans="1:30" ht="15.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9"/>
      <c r="L408" s="18"/>
      <c r="M408" s="17"/>
      <c r="N408" s="17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spans="1:30" ht="15.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9"/>
      <c r="L409" s="18"/>
      <c r="M409" s="17"/>
      <c r="N409" s="17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spans="1:30" ht="15.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9"/>
      <c r="L410" s="18"/>
      <c r="M410" s="17"/>
      <c r="N410" s="17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spans="1:30" ht="15.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9"/>
      <c r="L411" s="18"/>
      <c r="M411" s="17"/>
      <c r="N411" s="17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spans="1:30" ht="15.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9"/>
      <c r="L412" s="18"/>
      <c r="M412" s="17"/>
      <c r="N412" s="17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spans="1:30" ht="15.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9"/>
      <c r="L413" s="18"/>
      <c r="M413" s="17"/>
      <c r="N413" s="17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spans="1:30" ht="15.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9"/>
      <c r="L414" s="18"/>
      <c r="M414" s="17"/>
      <c r="N414" s="17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spans="1:30" ht="15.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9"/>
      <c r="L415" s="18"/>
      <c r="M415" s="17"/>
      <c r="N415" s="17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spans="1:30" ht="15.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9"/>
      <c r="L416" s="18"/>
      <c r="M416" s="17"/>
      <c r="N416" s="17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spans="1:30" ht="15.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9"/>
      <c r="L417" s="18"/>
      <c r="M417" s="17"/>
      <c r="N417" s="17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spans="1:30" ht="15.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9"/>
      <c r="L418" s="18"/>
      <c r="M418" s="17"/>
      <c r="N418" s="17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spans="1:30" ht="15.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9"/>
      <c r="L419" s="18"/>
      <c r="M419" s="17"/>
      <c r="N419" s="17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spans="1:30" ht="15.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9"/>
      <c r="L420" s="18"/>
      <c r="M420" s="17"/>
      <c r="N420" s="17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spans="1:30" ht="15.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9"/>
      <c r="L421" s="18"/>
      <c r="M421" s="17"/>
      <c r="N421" s="17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spans="1:30" ht="15.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9"/>
      <c r="L422" s="18"/>
      <c r="M422" s="17"/>
      <c r="N422" s="17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spans="1:30" ht="15.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9"/>
      <c r="L423" s="18"/>
      <c r="M423" s="17"/>
      <c r="N423" s="17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spans="1:30" ht="15.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9"/>
      <c r="L424" s="18"/>
      <c r="M424" s="17"/>
      <c r="N424" s="17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spans="1:30" ht="15.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9"/>
      <c r="L425" s="18"/>
      <c r="M425" s="17"/>
      <c r="N425" s="17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spans="1:30" ht="15.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9"/>
      <c r="L426" s="18"/>
      <c r="M426" s="17"/>
      <c r="N426" s="17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spans="1:30" ht="15.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9"/>
      <c r="L427" s="18"/>
      <c r="M427" s="17"/>
      <c r="N427" s="17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spans="1:30" ht="15.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9"/>
      <c r="L428" s="18"/>
      <c r="M428" s="17"/>
      <c r="N428" s="17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spans="1:30" ht="15.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9"/>
      <c r="L429" s="18"/>
      <c r="M429" s="17"/>
      <c r="N429" s="17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spans="1:30" ht="15.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9"/>
      <c r="L430" s="18"/>
      <c r="M430" s="17"/>
      <c r="N430" s="17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spans="1:30" ht="15.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9"/>
      <c r="L431" s="18"/>
      <c r="M431" s="17"/>
      <c r="N431" s="17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spans="1:30" ht="15.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9"/>
      <c r="L432" s="18"/>
      <c r="M432" s="17"/>
      <c r="N432" s="17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spans="1:30" ht="15.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9"/>
      <c r="L433" s="18"/>
      <c r="M433" s="17"/>
      <c r="N433" s="17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spans="1:30" ht="15.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9"/>
      <c r="L434" s="18"/>
      <c r="M434" s="17"/>
      <c r="N434" s="17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spans="1:30" ht="15.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9"/>
      <c r="L435" s="18"/>
      <c r="M435" s="17"/>
      <c r="N435" s="17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spans="1:30" ht="15.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9"/>
      <c r="L436" s="18"/>
      <c r="M436" s="17"/>
      <c r="N436" s="17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spans="1:30" ht="15.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9"/>
      <c r="L437" s="18"/>
      <c r="M437" s="17"/>
      <c r="N437" s="17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spans="1:30" ht="15.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9"/>
      <c r="L438" s="18"/>
      <c r="M438" s="17"/>
      <c r="N438" s="17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spans="1:30" ht="15.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9"/>
      <c r="L439" s="18"/>
      <c r="M439" s="17"/>
      <c r="N439" s="17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spans="1:30" ht="15.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9"/>
      <c r="L440" s="18"/>
      <c r="M440" s="17"/>
      <c r="N440" s="17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spans="1:30" ht="15.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9"/>
      <c r="L441" s="18"/>
      <c r="M441" s="17"/>
      <c r="N441" s="17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spans="1:30" ht="15.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9"/>
      <c r="L442" s="18"/>
      <c r="M442" s="17"/>
      <c r="N442" s="17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spans="1:30" ht="15.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9"/>
      <c r="L443" s="18"/>
      <c r="M443" s="17"/>
      <c r="N443" s="17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spans="1:30" ht="15.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9"/>
      <c r="L444" s="18"/>
      <c r="M444" s="17"/>
      <c r="N444" s="17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spans="1:30" ht="15.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9"/>
      <c r="L445" s="18"/>
      <c r="M445" s="17"/>
      <c r="N445" s="17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spans="1:30" ht="15.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9"/>
      <c r="L446" s="18"/>
      <c r="M446" s="17"/>
      <c r="N446" s="17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spans="1:30" ht="15.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9"/>
      <c r="L447" s="18"/>
      <c r="M447" s="17"/>
      <c r="N447" s="17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spans="1:30" ht="15.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9"/>
      <c r="L448" s="18"/>
      <c r="M448" s="17"/>
      <c r="N448" s="17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spans="1:30" ht="15.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9"/>
      <c r="L449" s="18"/>
      <c r="M449" s="17"/>
      <c r="N449" s="17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spans="1:30" ht="15.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9"/>
      <c r="L450" s="18"/>
      <c r="M450" s="17"/>
      <c r="N450" s="17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spans="1:30" ht="15.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9"/>
      <c r="L451" s="18"/>
      <c r="M451" s="17"/>
      <c r="N451" s="17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spans="1:30" ht="15.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9"/>
      <c r="L452" s="18"/>
      <c r="M452" s="17"/>
      <c r="N452" s="17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spans="1:30" ht="15.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9"/>
      <c r="L453" s="18"/>
      <c r="M453" s="17"/>
      <c r="N453" s="17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spans="1:30" ht="15.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9"/>
      <c r="L454" s="18"/>
      <c r="M454" s="17"/>
      <c r="N454" s="17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spans="1:30" ht="15.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9"/>
      <c r="L455" s="18"/>
      <c r="M455" s="17"/>
      <c r="N455" s="17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spans="1:30" ht="15.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9"/>
      <c r="L456" s="18"/>
      <c r="M456" s="17"/>
      <c r="N456" s="17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spans="1:30" ht="15.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9"/>
      <c r="L457" s="18"/>
      <c r="M457" s="17"/>
      <c r="N457" s="17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spans="1:30" ht="15.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9"/>
      <c r="L458" s="18"/>
      <c r="M458" s="17"/>
      <c r="N458" s="17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spans="1:30" ht="15.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9"/>
      <c r="L459" s="18"/>
      <c r="M459" s="17"/>
      <c r="N459" s="17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spans="1:30" ht="15.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9"/>
      <c r="L460" s="18"/>
      <c r="M460" s="17"/>
      <c r="N460" s="17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spans="1:30" ht="15.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9"/>
      <c r="L461" s="18"/>
      <c r="M461" s="17"/>
      <c r="N461" s="17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spans="1:30" ht="15.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9"/>
      <c r="L462" s="18"/>
      <c r="M462" s="17"/>
      <c r="N462" s="17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spans="1:30" ht="15.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9"/>
      <c r="L463" s="18"/>
      <c r="M463" s="17"/>
      <c r="N463" s="17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spans="1:30" ht="15.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9"/>
      <c r="L464" s="18"/>
      <c r="M464" s="17"/>
      <c r="N464" s="17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spans="1:30" ht="15.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9"/>
      <c r="L465" s="18"/>
      <c r="M465" s="17"/>
      <c r="N465" s="17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spans="1:30" ht="15.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9"/>
      <c r="L466" s="18"/>
      <c r="M466" s="17"/>
      <c r="N466" s="17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spans="1:30" ht="15.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9"/>
      <c r="L467" s="18"/>
      <c r="M467" s="17"/>
      <c r="N467" s="17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spans="1:30" ht="15.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9"/>
      <c r="L468" s="18"/>
      <c r="M468" s="17"/>
      <c r="N468" s="17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spans="1:30" ht="15.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9"/>
      <c r="L469" s="18"/>
      <c r="M469" s="17"/>
      <c r="N469" s="17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spans="1:30" ht="15.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9"/>
      <c r="L470" s="18"/>
      <c r="M470" s="17"/>
      <c r="N470" s="17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spans="1:30" ht="15.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9"/>
      <c r="L471" s="18"/>
      <c r="M471" s="17"/>
      <c r="N471" s="17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spans="1:30" ht="15.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9"/>
      <c r="L472" s="18"/>
      <c r="M472" s="17"/>
      <c r="N472" s="17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spans="1:30" ht="15.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9"/>
      <c r="L473" s="18"/>
      <c r="M473" s="17"/>
      <c r="N473" s="17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spans="1:30" ht="15.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9"/>
      <c r="L474" s="18"/>
      <c r="M474" s="17"/>
      <c r="N474" s="17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spans="1:30" ht="15.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9"/>
      <c r="L475" s="18"/>
      <c r="M475" s="17"/>
      <c r="N475" s="17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spans="1:30" ht="15.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9"/>
      <c r="L476" s="18"/>
      <c r="M476" s="17"/>
      <c r="N476" s="17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spans="1:30" ht="15.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9"/>
      <c r="L477" s="18"/>
      <c r="M477" s="17"/>
      <c r="N477" s="17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spans="1:30" ht="15.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9"/>
      <c r="L478" s="18"/>
      <c r="M478" s="17"/>
      <c r="N478" s="17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spans="1:30" ht="15.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9"/>
      <c r="L479" s="18"/>
      <c r="M479" s="17"/>
      <c r="N479" s="17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spans="1:30" ht="15.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9"/>
      <c r="L480" s="18"/>
      <c r="M480" s="17"/>
      <c r="N480" s="17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spans="1:30" ht="15.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9"/>
      <c r="L481" s="18"/>
      <c r="M481" s="17"/>
      <c r="N481" s="17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spans="1:30" ht="15.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9"/>
      <c r="L482" s="18"/>
      <c r="M482" s="17"/>
      <c r="N482" s="17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spans="1:30" ht="15.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9"/>
      <c r="L483" s="18"/>
      <c r="M483" s="17"/>
      <c r="N483" s="17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spans="1:30" ht="15.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9"/>
      <c r="L484" s="18"/>
      <c r="M484" s="17"/>
      <c r="N484" s="17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spans="1:30" ht="15.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9"/>
      <c r="L485" s="18"/>
      <c r="M485" s="17"/>
      <c r="N485" s="17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spans="1:30" ht="15.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9"/>
      <c r="L486" s="18"/>
      <c r="M486" s="17"/>
      <c r="N486" s="17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spans="1:30" ht="15.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9"/>
      <c r="L487" s="18"/>
      <c r="M487" s="17"/>
      <c r="N487" s="17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spans="1:30" ht="15.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9"/>
      <c r="L488" s="18"/>
      <c r="M488" s="17"/>
      <c r="N488" s="17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spans="1:30" ht="15.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9"/>
      <c r="L489" s="18"/>
      <c r="M489" s="17"/>
      <c r="N489" s="17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spans="1:30" ht="15.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9"/>
      <c r="L490" s="18"/>
      <c r="M490" s="17"/>
      <c r="N490" s="17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spans="1:30" ht="15.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9"/>
      <c r="L491" s="18"/>
      <c r="M491" s="17"/>
      <c r="N491" s="17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spans="1:30" ht="15.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9"/>
      <c r="L492" s="18"/>
      <c r="M492" s="17"/>
      <c r="N492" s="17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spans="1:30" ht="15.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9"/>
      <c r="L493" s="18"/>
      <c r="M493" s="17"/>
      <c r="N493" s="17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spans="1:30" ht="15.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9"/>
      <c r="L494" s="18"/>
      <c r="M494" s="17"/>
      <c r="N494" s="17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spans="1:30" ht="15.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9"/>
      <c r="L495" s="18"/>
      <c r="M495" s="17"/>
      <c r="N495" s="17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spans="1:30" ht="15.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9"/>
      <c r="L496" s="18"/>
      <c r="M496" s="17"/>
      <c r="N496" s="17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spans="1:30" ht="15.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9"/>
      <c r="L497" s="18"/>
      <c r="M497" s="17"/>
      <c r="N497" s="17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spans="1:30" ht="15.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9"/>
      <c r="L498" s="18"/>
      <c r="M498" s="17"/>
      <c r="N498" s="17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spans="1:30" ht="15.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9"/>
      <c r="L499" s="18"/>
      <c r="M499" s="17"/>
      <c r="N499" s="17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spans="1:30" ht="15.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9"/>
      <c r="L500" s="18"/>
      <c r="M500" s="17"/>
      <c r="N500" s="17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spans="1:30" ht="15.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9"/>
      <c r="L501" s="18"/>
      <c r="M501" s="17"/>
      <c r="N501" s="17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spans="1:30" ht="15.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9"/>
      <c r="L502" s="18"/>
      <c r="M502" s="17"/>
      <c r="N502" s="17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spans="1:30" ht="15.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9"/>
      <c r="L503" s="18"/>
      <c r="M503" s="17"/>
      <c r="N503" s="17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spans="1:30" ht="15.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9"/>
      <c r="L504" s="18"/>
      <c r="M504" s="17"/>
      <c r="N504" s="17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spans="1:30" ht="15.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9"/>
      <c r="L505" s="18"/>
      <c r="M505" s="17"/>
      <c r="N505" s="17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spans="1:30" ht="15.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9"/>
      <c r="L506" s="18"/>
      <c r="M506" s="17"/>
      <c r="N506" s="17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spans="1:30" ht="15.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9"/>
      <c r="L507" s="18"/>
      <c r="M507" s="17"/>
      <c r="N507" s="17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spans="1:30" ht="15.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9"/>
      <c r="L508" s="18"/>
      <c r="M508" s="17"/>
      <c r="N508" s="17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spans="1:30" ht="15.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9"/>
      <c r="L509" s="18"/>
      <c r="M509" s="17"/>
      <c r="N509" s="17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spans="1:30" ht="15.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9"/>
      <c r="L510" s="18"/>
      <c r="M510" s="17"/>
      <c r="N510" s="17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spans="1:30" ht="15.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9"/>
      <c r="L511" s="18"/>
      <c r="M511" s="17"/>
      <c r="N511" s="17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spans="1:30" ht="15.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9"/>
      <c r="L512" s="18"/>
      <c r="M512" s="17"/>
      <c r="N512" s="17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spans="1:30" ht="15.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9"/>
      <c r="L513" s="18"/>
      <c r="M513" s="17"/>
      <c r="N513" s="17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spans="1:30" ht="15.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9"/>
      <c r="L514" s="18"/>
      <c r="M514" s="17"/>
      <c r="N514" s="17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spans="1:30" ht="15.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9"/>
      <c r="L515" s="18"/>
      <c r="M515" s="17"/>
      <c r="N515" s="17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spans="1:30" ht="15.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9"/>
      <c r="L516" s="18"/>
      <c r="M516" s="17"/>
      <c r="N516" s="17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spans="1:30" ht="15.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9"/>
      <c r="L517" s="18"/>
      <c r="M517" s="17"/>
      <c r="N517" s="17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spans="1:30" ht="15.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9"/>
      <c r="L518" s="18"/>
      <c r="M518" s="17"/>
      <c r="N518" s="17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spans="1:30" ht="15.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9"/>
      <c r="L519" s="18"/>
      <c r="M519" s="17"/>
      <c r="N519" s="17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spans="1:30" ht="15.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9"/>
      <c r="L520" s="18"/>
      <c r="M520" s="17"/>
      <c r="N520" s="17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spans="1:30" ht="15.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9"/>
      <c r="L521" s="18"/>
      <c r="M521" s="17"/>
      <c r="N521" s="17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spans="1:30" ht="15.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9"/>
      <c r="L522" s="18"/>
      <c r="M522" s="17"/>
      <c r="N522" s="17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spans="1:30" ht="15.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9"/>
      <c r="L523" s="18"/>
      <c r="M523" s="17"/>
      <c r="N523" s="17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spans="1:30" ht="15.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9"/>
      <c r="L524" s="18"/>
      <c r="M524" s="17"/>
      <c r="N524" s="17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spans="1:30" ht="15.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9"/>
      <c r="L525" s="18"/>
      <c r="M525" s="17"/>
      <c r="N525" s="17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spans="1:30" ht="15.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9"/>
      <c r="L526" s="18"/>
      <c r="M526" s="17"/>
      <c r="N526" s="17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spans="1:30" ht="15.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9"/>
      <c r="L527" s="18"/>
      <c r="M527" s="17"/>
      <c r="N527" s="17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spans="1:30" ht="15.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9"/>
      <c r="L528" s="18"/>
      <c r="M528" s="17"/>
      <c r="N528" s="17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spans="1:30" ht="15.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9"/>
      <c r="L529" s="18"/>
      <c r="M529" s="17"/>
      <c r="N529" s="17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spans="1:30" ht="15.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9"/>
      <c r="L530" s="18"/>
      <c r="M530" s="17"/>
      <c r="N530" s="17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spans="1:30" ht="15.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9"/>
      <c r="L531" s="18"/>
      <c r="M531" s="17"/>
      <c r="N531" s="17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spans="1:30" ht="15.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9"/>
      <c r="L532" s="18"/>
      <c r="M532" s="17"/>
      <c r="N532" s="17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spans="1:30" ht="15.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9"/>
      <c r="L533" s="18"/>
      <c r="M533" s="17"/>
      <c r="N533" s="17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spans="1:30" ht="15.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9"/>
      <c r="L534" s="18"/>
      <c r="M534" s="17"/>
      <c r="N534" s="17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spans="1:30" ht="15.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9"/>
      <c r="L535" s="18"/>
      <c r="M535" s="17"/>
      <c r="N535" s="17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spans="1:30" ht="15.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9"/>
      <c r="L536" s="18"/>
      <c r="M536" s="17"/>
      <c r="N536" s="17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spans="1:30" ht="15.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9"/>
      <c r="L537" s="18"/>
      <c r="M537" s="17"/>
      <c r="N537" s="17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spans="1:30" ht="15.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9"/>
      <c r="L538" s="18"/>
      <c r="M538" s="17"/>
      <c r="N538" s="17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spans="1:30" ht="15.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9"/>
      <c r="L539" s="18"/>
      <c r="M539" s="17"/>
      <c r="N539" s="17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spans="1:30" ht="15.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9"/>
      <c r="L540" s="18"/>
      <c r="M540" s="17"/>
      <c r="N540" s="17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spans="1:30" ht="15.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9"/>
      <c r="L541" s="18"/>
      <c r="M541" s="17"/>
      <c r="N541" s="17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spans="1:30" ht="15.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9"/>
      <c r="L542" s="18"/>
      <c r="M542" s="17"/>
      <c r="N542" s="17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spans="1:30" ht="15.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9"/>
      <c r="L543" s="18"/>
      <c r="M543" s="17"/>
      <c r="N543" s="17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spans="1:30" ht="15.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9"/>
      <c r="L544" s="18"/>
      <c r="M544" s="17"/>
      <c r="N544" s="17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spans="1:30" ht="15.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9"/>
      <c r="L545" s="18"/>
      <c r="M545" s="17"/>
      <c r="N545" s="17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spans="1:30" ht="15.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9"/>
      <c r="L546" s="18"/>
      <c r="M546" s="17"/>
      <c r="N546" s="17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spans="1:30" ht="15.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9"/>
      <c r="L547" s="18"/>
      <c r="M547" s="17"/>
      <c r="N547" s="17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spans="1:30" ht="15.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9"/>
      <c r="L548" s="18"/>
      <c r="M548" s="17"/>
      <c r="N548" s="17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spans="1:30" ht="15.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9"/>
      <c r="L549" s="18"/>
      <c r="M549" s="17"/>
      <c r="N549" s="17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spans="1:30" ht="15.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9"/>
      <c r="L550" s="18"/>
      <c r="M550" s="17"/>
      <c r="N550" s="17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spans="1:30" ht="15.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9"/>
      <c r="L551" s="18"/>
      <c r="M551" s="17"/>
      <c r="N551" s="17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spans="1:30" ht="15.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9"/>
      <c r="L552" s="18"/>
      <c r="M552" s="17"/>
      <c r="N552" s="17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spans="1:30" ht="15.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9"/>
      <c r="L553" s="18"/>
      <c r="M553" s="17"/>
      <c r="N553" s="17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spans="1:30" ht="15.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9"/>
      <c r="L554" s="18"/>
      <c r="M554" s="17"/>
      <c r="N554" s="17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spans="1:30" ht="15.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9"/>
      <c r="L555" s="18"/>
      <c r="M555" s="17"/>
      <c r="N555" s="17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spans="1:30" ht="15.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9"/>
      <c r="L556" s="18"/>
      <c r="M556" s="17"/>
      <c r="N556" s="17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spans="1:30" ht="15.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9"/>
      <c r="L557" s="18"/>
      <c r="M557" s="17"/>
      <c r="N557" s="17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spans="1:30" ht="15.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9"/>
      <c r="L558" s="18"/>
      <c r="M558" s="17"/>
      <c r="N558" s="17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spans="1:30" ht="15.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9"/>
      <c r="L559" s="18"/>
      <c r="M559" s="17"/>
      <c r="N559" s="17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spans="1:30" ht="15.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9"/>
      <c r="L560" s="18"/>
      <c r="M560" s="17"/>
      <c r="N560" s="17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spans="1:30" ht="15.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9"/>
      <c r="L561" s="18"/>
      <c r="M561" s="17"/>
      <c r="N561" s="17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spans="1:30" ht="15.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9"/>
      <c r="L562" s="18"/>
      <c r="M562" s="17"/>
      <c r="N562" s="17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spans="1:30" ht="15.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9"/>
      <c r="L563" s="18"/>
      <c r="M563" s="17"/>
      <c r="N563" s="17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spans="1:30" ht="15.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9"/>
      <c r="L564" s="18"/>
      <c r="M564" s="17"/>
      <c r="N564" s="17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spans="1:30" ht="15.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9"/>
      <c r="L565" s="18"/>
      <c r="M565" s="17"/>
      <c r="N565" s="17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spans="1:30" ht="15.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9"/>
      <c r="L566" s="18"/>
      <c r="M566" s="17"/>
      <c r="N566" s="17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spans="1:30" ht="15.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9"/>
      <c r="L567" s="18"/>
      <c r="M567" s="17"/>
      <c r="N567" s="17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spans="1:30" ht="15.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9"/>
      <c r="L568" s="18"/>
      <c r="M568" s="17"/>
      <c r="N568" s="17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spans="1:30" ht="15.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9"/>
      <c r="L569" s="18"/>
      <c r="M569" s="17"/>
      <c r="N569" s="17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spans="1:30" ht="15.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9"/>
      <c r="L570" s="18"/>
      <c r="M570" s="17"/>
      <c r="N570" s="17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spans="1:30" ht="15.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9"/>
      <c r="L571" s="18"/>
      <c r="M571" s="17"/>
      <c r="N571" s="17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spans="1:30" ht="15.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9"/>
      <c r="L572" s="18"/>
      <c r="M572" s="17"/>
      <c r="N572" s="17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spans="1:30" ht="15.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9"/>
      <c r="L573" s="18"/>
      <c r="M573" s="17"/>
      <c r="N573" s="17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spans="1:30" ht="15.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9"/>
      <c r="L574" s="18"/>
      <c r="M574" s="17"/>
      <c r="N574" s="17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spans="1:30" ht="15.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9"/>
      <c r="L575" s="18"/>
      <c r="M575" s="17"/>
      <c r="N575" s="17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spans="1:30" ht="15.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9"/>
      <c r="L576" s="18"/>
      <c r="M576" s="17"/>
      <c r="N576" s="17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spans="1:30" ht="15.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9"/>
      <c r="L577" s="18"/>
      <c r="M577" s="17"/>
      <c r="N577" s="17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spans="1:30" ht="15.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9"/>
      <c r="L578" s="18"/>
      <c r="M578" s="17"/>
      <c r="N578" s="17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spans="1:30" ht="15.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9"/>
      <c r="L579" s="18"/>
      <c r="M579" s="17"/>
      <c r="N579" s="17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spans="1:30" ht="15.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9"/>
      <c r="L580" s="18"/>
      <c r="M580" s="17"/>
      <c r="N580" s="17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spans="1:30" ht="15.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9"/>
      <c r="L581" s="18"/>
      <c r="M581" s="17"/>
      <c r="N581" s="17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spans="1:30" ht="15.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9"/>
      <c r="L582" s="18"/>
      <c r="M582" s="17"/>
      <c r="N582" s="17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spans="1:30" ht="15.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9"/>
      <c r="L583" s="18"/>
      <c r="M583" s="17"/>
      <c r="N583" s="17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spans="1:30" ht="15.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9"/>
      <c r="L584" s="18"/>
      <c r="M584" s="17"/>
      <c r="N584" s="17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spans="1:30" ht="15.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9"/>
      <c r="L585" s="18"/>
      <c r="M585" s="17"/>
      <c r="N585" s="17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spans="1:30" ht="15.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9"/>
      <c r="L586" s="18"/>
      <c r="M586" s="17"/>
      <c r="N586" s="17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spans="1:30" ht="15.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9"/>
      <c r="L587" s="18"/>
      <c r="M587" s="17"/>
      <c r="N587" s="17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spans="1:30" ht="15.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9"/>
      <c r="L588" s="18"/>
      <c r="M588" s="17"/>
      <c r="N588" s="17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spans="1:30" ht="15.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9"/>
      <c r="L589" s="18"/>
      <c r="M589" s="17"/>
      <c r="N589" s="17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spans="1:30" ht="15.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9"/>
      <c r="L590" s="18"/>
      <c r="M590" s="17"/>
      <c r="N590" s="17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spans="1:30" ht="15.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9"/>
      <c r="L591" s="18"/>
      <c r="M591" s="17"/>
      <c r="N591" s="17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spans="1:30" ht="15.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9"/>
      <c r="L592" s="18"/>
      <c r="M592" s="17"/>
      <c r="N592" s="17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spans="1:30" ht="15.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9"/>
      <c r="L593" s="18"/>
      <c r="M593" s="17"/>
      <c r="N593" s="17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spans="1:30" ht="15.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9"/>
      <c r="L594" s="18"/>
      <c r="M594" s="17"/>
      <c r="N594" s="17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spans="1:30" ht="15.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9"/>
      <c r="L595" s="18"/>
      <c r="M595" s="17"/>
      <c r="N595" s="17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spans="1:30" ht="15.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9"/>
      <c r="L596" s="18"/>
      <c r="M596" s="17"/>
      <c r="N596" s="17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spans="1:30" ht="15.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9"/>
      <c r="L597" s="18"/>
      <c r="M597" s="17"/>
      <c r="N597" s="17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spans="1:30" ht="15.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9"/>
      <c r="L598" s="18"/>
      <c r="M598" s="17"/>
      <c r="N598" s="17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spans="1:30" ht="15.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9"/>
      <c r="L599" s="18"/>
      <c r="M599" s="17"/>
      <c r="N599" s="17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spans="1:30" ht="15.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9"/>
      <c r="L600" s="18"/>
      <c r="M600" s="17"/>
      <c r="N600" s="17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spans="1:30" ht="15.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9"/>
      <c r="L601" s="18"/>
      <c r="M601" s="17"/>
      <c r="N601" s="17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spans="1:30" ht="15.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9"/>
      <c r="L602" s="18"/>
      <c r="M602" s="17"/>
      <c r="N602" s="17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spans="1:30" ht="15.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9"/>
      <c r="L603" s="18"/>
      <c r="M603" s="17"/>
      <c r="N603" s="17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spans="1:30" ht="15.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9"/>
      <c r="L604" s="18"/>
      <c r="M604" s="17"/>
      <c r="N604" s="17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spans="1:30" ht="15.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9"/>
      <c r="L605" s="18"/>
      <c r="M605" s="17"/>
      <c r="N605" s="17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spans="1:30" ht="15.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9"/>
      <c r="L606" s="18"/>
      <c r="M606" s="17"/>
      <c r="N606" s="17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spans="1:30" ht="15.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9"/>
      <c r="L607" s="18"/>
      <c r="M607" s="17"/>
      <c r="N607" s="17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spans="1:30" ht="15.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9"/>
      <c r="L608" s="18"/>
      <c r="M608" s="17"/>
      <c r="N608" s="17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spans="1:30" ht="15.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9"/>
      <c r="L609" s="18"/>
      <c r="M609" s="17"/>
      <c r="N609" s="17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spans="1:30" ht="15.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9"/>
      <c r="L610" s="18"/>
      <c r="M610" s="17"/>
      <c r="N610" s="17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spans="1:30" ht="15.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9"/>
      <c r="L611" s="18"/>
      <c r="M611" s="17"/>
      <c r="N611" s="17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spans="1:30" ht="15.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9"/>
      <c r="L612" s="18"/>
      <c r="M612" s="17"/>
      <c r="N612" s="17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spans="1:30" ht="15.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9"/>
      <c r="L613" s="18"/>
      <c r="M613" s="17"/>
      <c r="N613" s="17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spans="1:30" ht="15.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9"/>
      <c r="L614" s="18"/>
      <c r="M614" s="17"/>
      <c r="N614" s="17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spans="1:30" ht="15.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9"/>
      <c r="L615" s="18"/>
      <c r="M615" s="17"/>
      <c r="N615" s="17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spans="1:30" ht="15.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9"/>
      <c r="L616" s="18"/>
      <c r="M616" s="17"/>
      <c r="N616" s="17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spans="1:30" ht="15.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9"/>
      <c r="L617" s="18"/>
      <c r="M617" s="17"/>
      <c r="N617" s="17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spans="1:30" ht="15.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9"/>
      <c r="L618" s="18"/>
      <c r="M618" s="17"/>
      <c r="N618" s="17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spans="1:30" ht="15.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9"/>
      <c r="L619" s="18"/>
      <c r="M619" s="17"/>
      <c r="N619" s="17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spans="1:30" ht="15.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9"/>
      <c r="L620" s="18"/>
      <c r="M620" s="17"/>
      <c r="N620" s="17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spans="1:30" ht="15.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9"/>
      <c r="L621" s="18"/>
      <c r="M621" s="17"/>
      <c r="N621" s="17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spans="1:30" ht="15.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9"/>
      <c r="L622" s="18"/>
      <c r="M622" s="17"/>
      <c r="N622" s="17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spans="1:30" ht="15.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9"/>
      <c r="L623" s="18"/>
      <c r="M623" s="17"/>
      <c r="N623" s="17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spans="1:30" ht="15.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9"/>
      <c r="L624" s="18"/>
      <c r="M624" s="17"/>
      <c r="N624" s="17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spans="1:30" ht="15.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9"/>
      <c r="L625" s="18"/>
      <c r="M625" s="17"/>
      <c r="N625" s="17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spans="1:30" ht="15.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9"/>
      <c r="L626" s="18"/>
      <c r="M626" s="17"/>
      <c r="N626" s="17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spans="1:30" ht="15.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9"/>
      <c r="L627" s="18"/>
      <c r="M627" s="17"/>
      <c r="N627" s="17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spans="1:30" ht="15.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9"/>
      <c r="L628" s="18"/>
      <c r="M628" s="17"/>
      <c r="N628" s="17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spans="1:30" ht="15.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9"/>
      <c r="L629" s="18"/>
      <c r="M629" s="17"/>
      <c r="N629" s="17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spans="1:30" ht="15.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9"/>
      <c r="L630" s="18"/>
      <c r="M630" s="17"/>
      <c r="N630" s="17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spans="1:30" ht="15.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9"/>
      <c r="L631" s="18"/>
      <c r="M631" s="17"/>
      <c r="N631" s="17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spans="1:30" ht="15.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9"/>
      <c r="L632" s="18"/>
      <c r="M632" s="17"/>
      <c r="N632" s="17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spans="1:30" ht="15.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9"/>
      <c r="L633" s="18"/>
      <c r="M633" s="17"/>
      <c r="N633" s="17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spans="1:30" ht="15.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9"/>
      <c r="L634" s="18"/>
      <c r="M634" s="17"/>
      <c r="N634" s="17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spans="1:30" ht="15.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9"/>
      <c r="L635" s="18"/>
      <c r="M635" s="17"/>
      <c r="N635" s="17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spans="1:30" ht="15.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9"/>
      <c r="L636" s="18"/>
      <c r="M636" s="17"/>
      <c r="N636" s="17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spans="1:30" ht="15.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9"/>
      <c r="L637" s="18"/>
      <c r="M637" s="17"/>
      <c r="N637" s="17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spans="1:30" ht="15.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9"/>
      <c r="L638" s="18"/>
      <c r="M638" s="17"/>
      <c r="N638" s="17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spans="1:30" ht="15.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9"/>
      <c r="L639" s="18"/>
      <c r="M639" s="17"/>
      <c r="N639" s="17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spans="1:30" ht="15.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9"/>
      <c r="L640" s="18"/>
      <c r="M640" s="17"/>
      <c r="N640" s="17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spans="1:30" ht="15.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9"/>
      <c r="L641" s="18"/>
      <c r="M641" s="17"/>
      <c r="N641" s="17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spans="1:30" ht="15.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9"/>
      <c r="L642" s="18"/>
      <c r="M642" s="17"/>
      <c r="N642" s="17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spans="1:30" ht="15.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9"/>
      <c r="L643" s="18"/>
      <c r="M643" s="17"/>
      <c r="N643" s="17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spans="1:30" ht="15.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9"/>
      <c r="L644" s="18"/>
      <c r="M644" s="17"/>
      <c r="N644" s="17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spans="1:30" ht="15.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9"/>
      <c r="L645" s="18"/>
      <c r="M645" s="17"/>
      <c r="N645" s="17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spans="1:30" ht="15.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9"/>
      <c r="L646" s="18"/>
      <c r="M646" s="17"/>
      <c r="N646" s="17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spans="1:30" ht="15.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9"/>
      <c r="L647" s="18"/>
      <c r="M647" s="17"/>
      <c r="N647" s="17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spans="1:30" ht="15.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9"/>
      <c r="L648" s="18"/>
      <c r="M648" s="17"/>
      <c r="N648" s="17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spans="1:30" ht="15.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9"/>
      <c r="L649" s="18"/>
      <c r="M649" s="17"/>
      <c r="N649" s="17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spans="1:30" ht="15.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9"/>
      <c r="L650" s="18"/>
      <c r="M650" s="17"/>
      <c r="N650" s="17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spans="1:30" ht="15.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9"/>
      <c r="L651" s="18"/>
      <c r="M651" s="17"/>
      <c r="N651" s="17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spans="1:30" ht="15.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9"/>
      <c r="L652" s="18"/>
      <c r="M652" s="17"/>
      <c r="N652" s="17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spans="1:30" ht="15.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9"/>
      <c r="L653" s="18"/>
      <c r="M653" s="17"/>
      <c r="N653" s="17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spans="1:30" ht="15.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9"/>
      <c r="L654" s="18"/>
      <c r="M654" s="17"/>
      <c r="N654" s="17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spans="1:30" ht="15.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9"/>
      <c r="L655" s="18"/>
      <c r="M655" s="17"/>
      <c r="N655" s="17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spans="1:30" ht="15.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9"/>
      <c r="L656" s="18"/>
      <c r="M656" s="17"/>
      <c r="N656" s="17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spans="1:30" ht="15.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9"/>
      <c r="L657" s="18"/>
      <c r="M657" s="17"/>
      <c r="N657" s="17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spans="1:30" ht="15.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9"/>
      <c r="L658" s="18"/>
      <c r="M658" s="17"/>
      <c r="N658" s="17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spans="1:30" ht="15.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9"/>
      <c r="L659" s="18"/>
      <c r="M659" s="17"/>
      <c r="N659" s="17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spans="1:30" ht="15.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9"/>
      <c r="L660" s="18"/>
      <c r="M660" s="17"/>
      <c r="N660" s="17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spans="1:30" ht="15.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9"/>
      <c r="L661" s="18"/>
      <c r="M661" s="17"/>
      <c r="N661" s="17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spans="1:30" ht="15.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9"/>
      <c r="L662" s="18"/>
      <c r="M662" s="17"/>
      <c r="N662" s="17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spans="1:30" ht="15.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9"/>
      <c r="L663" s="18"/>
      <c r="M663" s="17"/>
      <c r="N663" s="17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spans="1:30" ht="15.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9"/>
      <c r="L664" s="18"/>
      <c r="M664" s="17"/>
      <c r="N664" s="17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spans="1:30" ht="15.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9"/>
      <c r="L665" s="18"/>
      <c r="M665" s="17"/>
      <c r="N665" s="17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spans="1:30" ht="15.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9"/>
      <c r="L666" s="18"/>
      <c r="M666" s="17"/>
      <c r="N666" s="17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spans="1:30" ht="15.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9"/>
      <c r="L667" s="18"/>
      <c r="M667" s="17"/>
      <c r="N667" s="17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spans="1:30" ht="15.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9"/>
      <c r="L668" s="18"/>
      <c r="M668" s="17"/>
      <c r="N668" s="17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spans="1:30" ht="15.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9"/>
      <c r="L669" s="18"/>
      <c r="M669" s="17"/>
      <c r="N669" s="17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spans="1:30" ht="15.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9"/>
      <c r="L670" s="18"/>
      <c r="M670" s="17"/>
      <c r="N670" s="17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spans="1:30" ht="15.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9"/>
      <c r="L671" s="18"/>
      <c r="M671" s="17"/>
      <c r="N671" s="17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spans="1:30" ht="15.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9"/>
      <c r="L672" s="18"/>
      <c r="M672" s="17"/>
      <c r="N672" s="17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spans="1:30" ht="15.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9"/>
      <c r="L673" s="18"/>
      <c r="M673" s="17"/>
      <c r="N673" s="17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spans="1:30" ht="15.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9"/>
      <c r="L674" s="18"/>
      <c r="M674" s="17"/>
      <c r="N674" s="17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spans="1:30" ht="15.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9"/>
      <c r="L675" s="18"/>
      <c r="M675" s="17"/>
      <c r="N675" s="17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spans="1:30" ht="15.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9"/>
      <c r="L676" s="18"/>
      <c r="M676" s="17"/>
      <c r="N676" s="17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spans="1:30" ht="15.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9"/>
      <c r="L677" s="18"/>
      <c r="M677" s="17"/>
      <c r="N677" s="17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spans="1:30" ht="15.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9"/>
      <c r="L678" s="18"/>
      <c r="M678" s="17"/>
      <c r="N678" s="17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spans="1:30" ht="15.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9"/>
      <c r="L679" s="18"/>
      <c r="M679" s="17"/>
      <c r="N679" s="17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spans="1:30" ht="15.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9"/>
      <c r="L680" s="18"/>
      <c r="M680" s="17"/>
      <c r="N680" s="17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spans="1:30" ht="15.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9"/>
      <c r="L681" s="18"/>
      <c r="M681" s="17"/>
      <c r="N681" s="17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spans="1:30" ht="15.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9"/>
      <c r="L682" s="18"/>
      <c r="M682" s="17"/>
      <c r="N682" s="17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spans="1:30" ht="15.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9"/>
      <c r="L683" s="18"/>
      <c r="M683" s="17"/>
      <c r="N683" s="17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spans="1:30" ht="15.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9"/>
      <c r="L684" s="18"/>
      <c r="M684" s="17"/>
      <c r="N684" s="17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spans="1:30" ht="15.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9"/>
      <c r="L685" s="18"/>
      <c r="M685" s="17"/>
      <c r="N685" s="17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spans="1:30" ht="15.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9"/>
      <c r="L686" s="18"/>
      <c r="M686" s="17"/>
      <c r="N686" s="17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spans="1:30" ht="15.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9"/>
      <c r="L687" s="18"/>
      <c r="M687" s="17"/>
      <c r="N687" s="17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spans="1:30" ht="15.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9"/>
      <c r="L688" s="18"/>
      <c r="M688" s="17"/>
      <c r="N688" s="17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spans="1:30" ht="15.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9"/>
      <c r="L689" s="18"/>
      <c r="M689" s="17"/>
      <c r="N689" s="17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spans="1:30" ht="15.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9"/>
      <c r="L690" s="18"/>
      <c r="M690" s="17"/>
      <c r="N690" s="17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spans="1:30" ht="15.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9"/>
      <c r="L691" s="18"/>
      <c r="M691" s="17"/>
      <c r="N691" s="17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spans="1:30" ht="15.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9"/>
      <c r="L692" s="18"/>
      <c r="M692" s="17"/>
      <c r="N692" s="17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spans="1:30" ht="15.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9"/>
      <c r="L693" s="18"/>
      <c r="M693" s="17"/>
      <c r="N693" s="17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spans="1:30" ht="15.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9"/>
      <c r="L694" s="18"/>
      <c r="M694" s="17"/>
      <c r="N694" s="17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spans="1:30" ht="15.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9"/>
      <c r="L695" s="18"/>
      <c r="M695" s="17"/>
      <c r="N695" s="17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spans="1:30" ht="15.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9"/>
      <c r="L696" s="18"/>
      <c r="M696" s="17"/>
      <c r="N696" s="17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spans="1:30" ht="15.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9"/>
      <c r="L697" s="18"/>
      <c r="M697" s="17"/>
      <c r="N697" s="17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spans="1:30" ht="15.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9"/>
      <c r="L698" s="18"/>
      <c r="M698" s="17"/>
      <c r="N698" s="17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spans="1:30" ht="15.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9"/>
      <c r="L699" s="18"/>
      <c r="M699" s="17"/>
      <c r="N699" s="17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spans="1:30" ht="15.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9"/>
      <c r="L700" s="18"/>
      <c r="M700" s="17"/>
      <c r="N700" s="17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spans="1:30" ht="15.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9"/>
      <c r="L701" s="18"/>
      <c r="M701" s="17"/>
      <c r="N701" s="17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spans="1:30" ht="15.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9"/>
      <c r="L702" s="18"/>
      <c r="M702" s="17"/>
      <c r="N702" s="17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spans="1:30" ht="15.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9"/>
      <c r="L703" s="18"/>
      <c r="M703" s="17"/>
      <c r="N703" s="17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spans="1:30" ht="15.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9"/>
      <c r="L704" s="18"/>
      <c r="M704" s="17"/>
      <c r="N704" s="17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spans="1:30" ht="15.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9"/>
      <c r="L705" s="18"/>
      <c r="M705" s="17"/>
      <c r="N705" s="17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spans="1:30" ht="15.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9"/>
      <c r="L706" s="18"/>
      <c r="M706" s="17"/>
      <c r="N706" s="17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spans="1:30" ht="15.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9"/>
      <c r="L707" s="18"/>
      <c r="M707" s="17"/>
      <c r="N707" s="17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spans="1:30" ht="15.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9"/>
      <c r="L708" s="18"/>
      <c r="M708" s="17"/>
      <c r="N708" s="17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spans="1:30" ht="15.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9"/>
      <c r="L709" s="18"/>
      <c r="M709" s="17"/>
      <c r="N709" s="17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spans="1:30" ht="15.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9"/>
      <c r="L710" s="18"/>
      <c r="M710" s="17"/>
      <c r="N710" s="17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spans="1:30" ht="15.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9"/>
      <c r="L711" s="18"/>
      <c r="M711" s="17"/>
      <c r="N711" s="17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spans="1:30" ht="15.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9"/>
      <c r="L712" s="18"/>
      <c r="M712" s="17"/>
      <c r="N712" s="17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spans="1:30" ht="15.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9"/>
      <c r="L713" s="18"/>
      <c r="M713" s="17"/>
      <c r="N713" s="17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spans="1:30" ht="15.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9"/>
      <c r="L714" s="18"/>
      <c r="M714" s="17"/>
      <c r="N714" s="17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spans="1:30" ht="15.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9"/>
      <c r="L715" s="18"/>
      <c r="M715" s="17"/>
      <c r="N715" s="17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spans="1:30" ht="15.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9"/>
      <c r="L716" s="18"/>
      <c r="M716" s="17"/>
      <c r="N716" s="17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spans="1:30" ht="15.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9"/>
      <c r="L717" s="18"/>
      <c r="M717" s="17"/>
      <c r="N717" s="17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spans="1:30" ht="15.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9"/>
      <c r="L718" s="18"/>
      <c r="M718" s="17"/>
      <c r="N718" s="17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spans="1:30" ht="15.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9"/>
      <c r="L719" s="18"/>
      <c r="M719" s="17"/>
      <c r="N719" s="17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spans="1:30" ht="15.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9"/>
      <c r="L720" s="18"/>
      <c r="M720" s="17"/>
      <c r="N720" s="17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spans="1:30" ht="15.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9"/>
      <c r="L721" s="18"/>
      <c r="M721" s="17"/>
      <c r="N721" s="17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spans="1:30" ht="15.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9"/>
      <c r="L722" s="18"/>
      <c r="M722" s="17"/>
      <c r="N722" s="17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spans="1:30" ht="15.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9"/>
      <c r="L723" s="18"/>
      <c r="M723" s="17"/>
      <c r="N723" s="17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spans="1:30" ht="15.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9"/>
      <c r="L724" s="18"/>
      <c r="M724" s="17"/>
      <c r="N724" s="17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spans="1:30" ht="15.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9"/>
      <c r="L725" s="18"/>
      <c r="M725" s="17"/>
      <c r="N725" s="17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spans="1:30" ht="15.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9"/>
      <c r="L726" s="18"/>
      <c r="M726" s="17"/>
      <c r="N726" s="17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spans="1:30" ht="15.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9"/>
      <c r="L727" s="18"/>
      <c r="M727" s="17"/>
      <c r="N727" s="17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spans="1:30" ht="15.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9"/>
      <c r="L728" s="18"/>
      <c r="M728" s="17"/>
      <c r="N728" s="17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spans="1:30" ht="15.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9"/>
      <c r="L729" s="18"/>
      <c r="M729" s="17"/>
      <c r="N729" s="17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spans="1:30" ht="15.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9"/>
      <c r="L730" s="18"/>
      <c r="M730" s="17"/>
      <c r="N730" s="17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spans="1:30" ht="15.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9"/>
      <c r="L731" s="18"/>
      <c r="M731" s="17"/>
      <c r="N731" s="17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spans="1:30" ht="15.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9"/>
      <c r="L732" s="18"/>
      <c r="M732" s="17"/>
      <c r="N732" s="17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spans="1:30" ht="15.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9"/>
      <c r="L733" s="18"/>
      <c r="M733" s="17"/>
      <c r="N733" s="17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spans="1:30" ht="15.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9"/>
      <c r="L734" s="18"/>
      <c r="M734" s="17"/>
      <c r="N734" s="17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spans="1:30" ht="15.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9"/>
      <c r="L735" s="18"/>
      <c r="M735" s="17"/>
      <c r="N735" s="17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spans="1:30" ht="15.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9"/>
      <c r="L736" s="18"/>
      <c r="M736" s="17"/>
      <c r="N736" s="17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spans="1:30" ht="15.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9"/>
      <c r="L737" s="18"/>
      <c r="M737" s="17"/>
      <c r="N737" s="17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spans="1:30" ht="15.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9"/>
      <c r="L738" s="18"/>
      <c r="M738" s="17"/>
      <c r="N738" s="17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spans="1:30" ht="15.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9"/>
      <c r="L739" s="18"/>
      <c r="M739" s="17"/>
      <c r="N739" s="17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spans="1:30" ht="15.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9"/>
      <c r="L740" s="18"/>
      <c r="M740" s="17"/>
      <c r="N740" s="17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spans="1:30" ht="15.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9"/>
      <c r="L741" s="18"/>
      <c r="M741" s="17"/>
      <c r="N741" s="17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spans="1:30" ht="15.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9"/>
      <c r="L742" s="18"/>
      <c r="M742" s="17"/>
      <c r="N742" s="17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spans="1:30" ht="15.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9"/>
      <c r="L743" s="18"/>
      <c r="M743" s="17"/>
      <c r="N743" s="17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spans="1:30" ht="15.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9"/>
      <c r="L744" s="18"/>
      <c r="M744" s="17"/>
      <c r="N744" s="17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spans="1:30" ht="15.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9"/>
      <c r="L745" s="18"/>
      <c r="M745" s="17"/>
      <c r="N745" s="17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spans="1:30" ht="15.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9"/>
      <c r="L746" s="18"/>
      <c r="M746" s="17"/>
      <c r="N746" s="17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spans="1:30" ht="15.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9"/>
      <c r="L747" s="18"/>
      <c r="M747" s="17"/>
      <c r="N747" s="17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spans="1:30" ht="15.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9"/>
      <c r="L748" s="18"/>
      <c r="M748" s="17"/>
      <c r="N748" s="17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spans="1:30" ht="15.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9"/>
      <c r="L749" s="18"/>
      <c r="M749" s="17"/>
      <c r="N749" s="17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spans="1:30" ht="15.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9"/>
      <c r="L750" s="18"/>
      <c r="M750" s="17"/>
      <c r="N750" s="17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spans="1:30" ht="15.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9"/>
      <c r="L751" s="18"/>
      <c r="M751" s="17"/>
      <c r="N751" s="17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spans="1:30" ht="15.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9"/>
      <c r="L752" s="18"/>
      <c r="M752" s="17"/>
      <c r="N752" s="17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spans="1:30" ht="15.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9"/>
      <c r="L753" s="18"/>
      <c r="M753" s="17"/>
      <c r="N753" s="17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spans="1:30" ht="15.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9"/>
      <c r="L754" s="18"/>
      <c r="M754" s="17"/>
      <c r="N754" s="17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spans="1:30" ht="15.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9"/>
      <c r="L755" s="18"/>
      <c r="M755" s="17"/>
      <c r="N755" s="17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spans="1:30" ht="15.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9"/>
      <c r="L756" s="18"/>
      <c r="M756" s="17"/>
      <c r="N756" s="17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spans="1:30" ht="15.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9"/>
      <c r="L757" s="18"/>
      <c r="M757" s="17"/>
      <c r="N757" s="17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spans="1:30" ht="15.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9"/>
      <c r="L758" s="18"/>
      <c r="M758" s="17"/>
      <c r="N758" s="17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spans="1:30" ht="15.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9"/>
      <c r="L759" s="18"/>
      <c r="M759" s="17"/>
      <c r="N759" s="17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spans="1:30" ht="15.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9"/>
      <c r="L760" s="18"/>
      <c r="M760" s="17"/>
      <c r="N760" s="17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spans="1:30" ht="15.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9"/>
      <c r="L761" s="18"/>
      <c r="M761" s="17"/>
      <c r="N761" s="17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spans="1:30" ht="15.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9"/>
      <c r="L762" s="18"/>
      <c r="M762" s="17"/>
      <c r="N762" s="17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spans="1:30" ht="15.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9"/>
      <c r="L763" s="18"/>
      <c r="M763" s="17"/>
      <c r="N763" s="17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spans="1:30" ht="15.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9"/>
      <c r="L764" s="18"/>
      <c r="M764" s="17"/>
      <c r="N764" s="17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spans="1:30" ht="15.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9"/>
      <c r="L765" s="18"/>
      <c r="M765" s="17"/>
      <c r="N765" s="17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spans="1:30" ht="15.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9"/>
      <c r="L766" s="18"/>
      <c r="M766" s="17"/>
      <c r="N766" s="17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spans="1:30" ht="15.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9"/>
      <c r="L767" s="18"/>
      <c r="M767" s="17"/>
      <c r="N767" s="17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spans="1:30" ht="15.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9"/>
      <c r="L768" s="18"/>
      <c r="M768" s="17"/>
      <c r="N768" s="17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spans="1:30" ht="15.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9"/>
      <c r="L769" s="18"/>
      <c r="M769" s="17"/>
      <c r="N769" s="17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spans="1:30" ht="15.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9"/>
      <c r="L770" s="18"/>
      <c r="M770" s="17"/>
      <c r="N770" s="17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spans="1:30" ht="15.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9"/>
      <c r="L771" s="18"/>
      <c r="M771" s="17"/>
      <c r="N771" s="17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spans="1:30" ht="15.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9"/>
      <c r="L772" s="18"/>
      <c r="M772" s="17"/>
      <c r="N772" s="17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spans="1:30" ht="15.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9"/>
      <c r="L773" s="18"/>
      <c r="M773" s="17"/>
      <c r="N773" s="17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spans="1:30" ht="15.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9"/>
      <c r="L774" s="18"/>
      <c r="M774" s="17"/>
      <c r="N774" s="17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spans="1:30" ht="15.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9"/>
      <c r="L775" s="18"/>
      <c r="M775" s="17"/>
      <c r="N775" s="17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spans="1:30" ht="15.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9"/>
      <c r="L776" s="18"/>
      <c r="M776" s="17"/>
      <c r="N776" s="17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spans="1:30" ht="15.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9"/>
      <c r="L777" s="18"/>
      <c r="M777" s="17"/>
      <c r="N777" s="17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spans="1:30" ht="15.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9"/>
      <c r="L778" s="18"/>
      <c r="M778" s="17"/>
      <c r="N778" s="17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spans="1:30" ht="15.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9"/>
      <c r="L779" s="18"/>
      <c r="M779" s="17"/>
      <c r="N779" s="17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spans="1:30" ht="15.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9"/>
      <c r="L780" s="18"/>
      <c r="M780" s="17"/>
      <c r="N780" s="17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spans="1:30" ht="15.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9"/>
      <c r="L781" s="18"/>
      <c r="M781" s="17"/>
      <c r="N781" s="17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spans="1:30" ht="15.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9"/>
      <c r="L782" s="18"/>
      <c r="M782" s="17"/>
      <c r="N782" s="17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spans="1:30" ht="15.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9"/>
      <c r="L783" s="18"/>
      <c r="M783" s="17"/>
      <c r="N783" s="17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spans="1:30" ht="15.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9"/>
      <c r="L784" s="18"/>
      <c r="M784" s="17"/>
      <c r="N784" s="17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spans="1:30" ht="15.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9"/>
      <c r="L785" s="18"/>
      <c r="M785" s="17"/>
      <c r="N785" s="17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spans="1:30" ht="15.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9"/>
      <c r="L786" s="18"/>
      <c r="M786" s="17"/>
      <c r="N786" s="17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spans="1:30" ht="15.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9"/>
      <c r="L787" s="18"/>
      <c r="M787" s="17"/>
      <c r="N787" s="17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spans="1:30" ht="15.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9"/>
      <c r="L788" s="18"/>
      <c r="M788" s="17"/>
      <c r="N788" s="17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spans="1:30" ht="15.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9"/>
      <c r="L789" s="18"/>
      <c r="M789" s="17"/>
      <c r="N789" s="17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spans="1:30" ht="15.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9"/>
      <c r="L790" s="18"/>
      <c r="M790" s="17"/>
      <c r="N790" s="17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spans="1:30" ht="15.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9"/>
      <c r="L791" s="18"/>
      <c r="M791" s="17"/>
      <c r="N791" s="17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spans="1:30" ht="15.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9"/>
      <c r="L792" s="18"/>
      <c r="M792" s="17"/>
      <c r="N792" s="17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spans="1:30" ht="15.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9"/>
      <c r="L793" s="18"/>
      <c r="M793" s="17"/>
      <c r="N793" s="17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spans="1:30" ht="15.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9"/>
      <c r="L794" s="18"/>
      <c r="M794" s="17"/>
      <c r="N794" s="17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spans="1:30" ht="15.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9"/>
      <c r="L795" s="18"/>
      <c r="M795" s="17"/>
      <c r="N795" s="17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spans="1:30" ht="15.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9"/>
      <c r="L796" s="18"/>
      <c r="M796" s="17"/>
      <c r="N796" s="17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spans="1:30" ht="15.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9"/>
      <c r="L797" s="18"/>
      <c r="M797" s="17"/>
      <c r="N797" s="17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spans="1:30" ht="15.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9"/>
      <c r="L798" s="18"/>
      <c r="M798" s="17"/>
      <c r="N798" s="17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spans="1:30" ht="15.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9"/>
      <c r="L799" s="18"/>
      <c r="M799" s="17"/>
      <c r="N799" s="17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spans="1:30" ht="15.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9"/>
      <c r="L800" s="18"/>
      <c r="M800" s="17"/>
      <c r="N800" s="17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spans="1:30" ht="15.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9"/>
      <c r="L801" s="18"/>
      <c r="M801" s="17"/>
      <c r="N801" s="17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spans="1:30" ht="15.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9"/>
      <c r="L802" s="18"/>
      <c r="M802" s="17"/>
      <c r="N802" s="17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spans="1:30" ht="15.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9"/>
      <c r="L803" s="18"/>
      <c r="M803" s="17"/>
      <c r="N803" s="17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spans="1:30" ht="15.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9"/>
      <c r="L804" s="18"/>
      <c r="M804" s="17"/>
      <c r="N804" s="17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spans="1:30" ht="15.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9"/>
      <c r="L805" s="18"/>
      <c r="M805" s="17"/>
      <c r="N805" s="17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spans="1:30" ht="15.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9"/>
      <c r="L806" s="18"/>
      <c r="M806" s="17"/>
      <c r="N806" s="17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spans="1:30" ht="15.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9"/>
      <c r="L807" s="18"/>
      <c r="M807" s="17"/>
      <c r="N807" s="17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spans="1:30" ht="15.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9"/>
      <c r="L808" s="18"/>
      <c r="M808" s="17"/>
      <c r="N808" s="17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spans="1:30" ht="15.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9"/>
      <c r="L809" s="18"/>
      <c r="M809" s="17"/>
      <c r="N809" s="17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spans="1:30" ht="15.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9"/>
      <c r="L810" s="18"/>
      <c r="M810" s="17"/>
      <c r="N810" s="17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spans="1:30" ht="15.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9"/>
      <c r="L811" s="18"/>
      <c r="M811" s="17"/>
      <c r="N811" s="17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spans="1:30" ht="15.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9"/>
      <c r="L812" s="18"/>
      <c r="M812" s="17"/>
      <c r="N812" s="17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spans="1:30" ht="15.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9"/>
      <c r="L813" s="18"/>
      <c r="M813" s="17"/>
      <c r="N813" s="17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spans="1:30" ht="15.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9"/>
      <c r="L814" s="18"/>
      <c r="M814" s="17"/>
      <c r="N814" s="17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spans="1:30" ht="15.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9"/>
      <c r="L815" s="18"/>
      <c r="M815" s="17"/>
      <c r="N815" s="17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spans="1:30" ht="15.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9"/>
      <c r="L816" s="18"/>
      <c r="M816" s="17"/>
      <c r="N816" s="17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spans="1:30" ht="15.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9"/>
      <c r="L817" s="18"/>
      <c r="M817" s="17"/>
      <c r="N817" s="17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spans="1:30" ht="15.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9"/>
      <c r="L818" s="18"/>
      <c r="M818" s="17"/>
      <c r="N818" s="17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spans="1:30" ht="15.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9"/>
      <c r="L819" s="18"/>
      <c r="M819" s="17"/>
      <c r="N819" s="17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spans="1:30" ht="15.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9"/>
      <c r="L820" s="18"/>
      <c r="M820" s="17"/>
      <c r="N820" s="17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spans="1:30" ht="15.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9"/>
      <c r="L821" s="18"/>
      <c r="M821" s="17"/>
      <c r="N821" s="17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spans="1:30" ht="15.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9"/>
      <c r="L822" s="18"/>
      <c r="M822" s="17"/>
      <c r="N822" s="17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spans="1:30" ht="15.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9"/>
      <c r="L823" s="18"/>
      <c r="M823" s="17"/>
      <c r="N823" s="17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spans="1:30" ht="15.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9"/>
      <c r="L824" s="18"/>
      <c r="M824" s="17"/>
      <c r="N824" s="17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spans="1:30" ht="15.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9"/>
      <c r="L825" s="18"/>
      <c r="M825" s="17"/>
      <c r="N825" s="17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spans="1:30" ht="15.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9"/>
      <c r="L826" s="18"/>
      <c r="M826" s="17"/>
      <c r="N826" s="17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spans="1:30" ht="15.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9"/>
      <c r="L827" s="18"/>
      <c r="M827" s="17"/>
      <c r="N827" s="17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spans="1:30" ht="15.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9"/>
      <c r="L828" s="18"/>
      <c r="M828" s="17"/>
      <c r="N828" s="17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spans="1:30" ht="15.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9"/>
      <c r="L829" s="18"/>
      <c r="M829" s="17"/>
      <c r="N829" s="17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spans="1:30" ht="15.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9"/>
      <c r="L830" s="18"/>
      <c r="M830" s="17"/>
      <c r="N830" s="17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spans="1:30" ht="15.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9"/>
      <c r="L831" s="18"/>
      <c r="M831" s="17"/>
      <c r="N831" s="17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spans="1:30" ht="15.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9"/>
      <c r="L832" s="18"/>
      <c r="M832" s="17"/>
      <c r="N832" s="17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spans="1:30" ht="15.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9"/>
      <c r="L833" s="18"/>
      <c r="M833" s="17"/>
      <c r="N833" s="17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spans="1:30" ht="15.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9"/>
      <c r="L834" s="18"/>
      <c r="M834" s="17"/>
      <c r="N834" s="17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spans="1:30" ht="15.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9"/>
      <c r="L835" s="18"/>
      <c r="M835" s="17"/>
      <c r="N835" s="17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spans="1:30" ht="15.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9"/>
      <c r="L836" s="18"/>
      <c r="M836" s="17"/>
      <c r="N836" s="17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spans="1:30" ht="15.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9"/>
      <c r="L837" s="18"/>
      <c r="M837" s="17"/>
      <c r="N837" s="17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spans="1:30" ht="15.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9"/>
      <c r="L838" s="18"/>
      <c r="M838" s="17"/>
      <c r="N838" s="17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spans="1:30" ht="15.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9"/>
      <c r="L839" s="18"/>
      <c r="M839" s="17"/>
      <c r="N839" s="17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spans="1:30" ht="15.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9"/>
      <c r="L840" s="18"/>
      <c r="M840" s="17"/>
      <c r="N840" s="17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spans="1:30" ht="15.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9"/>
      <c r="L841" s="18"/>
      <c r="M841" s="17"/>
      <c r="N841" s="17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spans="1:30" ht="15.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9"/>
      <c r="L842" s="18"/>
      <c r="M842" s="17"/>
      <c r="N842" s="17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spans="1:30" ht="15.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9"/>
      <c r="L843" s="18"/>
      <c r="M843" s="17"/>
      <c r="N843" s="17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spans="1:30" ht="15.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9"/>
      <c r="L844" s="18"/>
      <c r="M844" s="17"/>
      <c r="N844" s="17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spans="1:30" ht="15.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9"/>
      <c r="L845" s="18"/>
      <c r="M845" s="17"/>
      <c r="N845" s="17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spans="1:30" ht="15.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9"/>
      <c r="L846" s="18"/>
      <c r="M846" s="17"/>
      <c r="N846" s="17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spans="1:30" ht="15.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9"/>
      <c r="L847" s="18"/>
      <c r="M847" s="17"/>
      <c r="N847" s="17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spans="1:30" ht="15.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9"/>
      <c r="L848" s="18"/>
      <c r="M848" s="17"/>
      <c r="N848" s="17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spans="1:30" ht="15.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9"/>
      <c r="L849" s="18"/>
      <c r="M849" s="17"/>
      <c r="N849" s="17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spans="1:30" ht="15.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9"/>
      <c r="L850" s="18"/>
      <c r="M850" s="17"/>
      <c r="N850" s="17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spans="1:30" ht="15.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9"/>
      <c r="L851" s="18"/>
      <c r="M851" s="17"/>
      <c r="N851" s="17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spans="1:30" ht="15.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9"/>
      <c r="L852" s="18"/>
      <c r="M852" s="17"/>
      <c r="N852" s="17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spans="1:30" ht="15.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9"/>
      <c r="L853" s="18"/>
      <c r="M853" s="17"/>
      <c r="N853" s="17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spans="1:30" ht="15.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9"/>
      <c r="L854" s="18"/>
      <c r="M854" s="17"/>
      <c r="N854" s="17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spans="1:30" ht="15.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9"/>
      <c r="L855" s="18"/>
      <c r="M855" s="17"/>
      <c r="N855" s="17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spans="1:30" ht="15.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9"/>
      <c r="L856" s="18"/>
      <c r="M856" s="17"/>
      <c r="N856" s="17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spans="1:30" ht="15.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9"/>
      <c r="L857" s="18"/>
      <c r="M857" s="17"/>
      <c r="N857" s="17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spans="1:30" ht="15.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9"/>
      <c r="L858" s="18"/>
      <c r="M858" s="17"/>
      <c r="N858" s="17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spans="1:30" ht="15.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9"/>
      <c r="L859" s="18"/>
      <c r="M859" s="17"/>
      <c r="N859" s="17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spans="1:30" ht="15.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9"/>
      <c r="L860" s="18"/>
      <c r="M860" s="17"/>
      <c r="N860" s="17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spans="1:30" ht="15.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9"/>
      <c r="L861" s="18"/>
      <c r="M861" s="17"/>
      <c r="N861" s="17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spans="1:30" ht="15.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9"/>
      <c r="L862" s="18"/>
      <c r="M862" s="17"/>
      <c r="N862" s="17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spans="1:30" ht="15.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9"/>
      <c r="L863" s="18"/>
      <c r="M863" s="17"/>
      <c r="N863" s="17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spans="1:30" ht="15.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9"/>
      <c r="L864" s="18"/>
      <c r="M864" s="17"/>
      <c r="N864" s="17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spans="1:30" ht="15.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9"/>
      <c r="L865" s="18"/>
      <c r="M865" s="17"/>
      <c r="N865" s="17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spans="1:30" ht="15.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9"/>
      <c r="L866" s="18"/>
      <c r="M866" s="17"/>
      <c r="N866" s="17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spans="1:30" ht="15.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9"/>
      <c r="L867" s="18"/>
      <c r="M867" s="17"/>
      <c r="N867" s="17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spans="1:30" ht="15.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9"/>
      <c r="L868" s="18"/>
      <c r="M868" s="17"/>
      <c r="N868" s="17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spans="1:30" ht="15.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9"/>
      <c r="L869" s="18"/>
      <c r="M869" s="17"/>
      <c r="N869" s="17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spans="1:30" ht="15.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9"/>
      <c r="L870" s="18"/>
      <c r="M870" s="17"/>
      <c r="N870" s="17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spans="1:30" ht="15.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9"/>
      <c r="L871" s="18"/>
      <c r="M871" s="17"/>
      <c r="N871" s="17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spans="1:30" ht="15.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9"/>
      <c r="L872" s="18"/>
      <c r="M872" s="17"/>
      <c r="N872" s="17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spans="1:30" ht="15.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9"/>
      <c r="L873" s="18"/>
      <c r="M873" s="17"/>
      <c r="N873" s="17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spans="1:30" ht="15.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9"/>
      <c r="L874" s="18"/>
      <c r="M874" s="17"/>
      <c r="N874" s="17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spans="1:30" ht="15.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9"/>
      <c r="L875" s="18"/>
      <c r="M875" s="17"/>
      <c r="N875" s="17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spans="1:30" ht="15.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9"/>
      <c r="L876" s="18"/>
      <c r="M876" s="17"/>
      <c r="N876" s="17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spans="1:30" ht="15.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9"/>
      <c r="L877" s="18"/>
      <c r="M877" s="17"/>
      <c r="N877" s="17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spans="1:30" ht="15.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9"/>
      <c r="L878" s="18"/>
      <c r="M878" s="17"/>
      <c r="N878" s="17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spans="1:30" ht="15.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9"/>
      <c r="L879" s="18"/>
      <c r="M879" s="17"/>
      <c r="N879" s="17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spans="1:30" ht="15.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9"/>
      <c r="L880" s="18"/>
      <c r="M880" s="17"/>
      <c r="N880" s="17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spans="1:30" ht="15.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9"/>
      <c r="L881" s="18"/>
      <c r="M881" s="17"/>
      <c r="N881" s="17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spans="1:30" ht="15.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9"/>
      <c r="L882" s="18"/>
      <c r="M882" s="17"/>
      <c r="N882" s="17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spans="1:30" ht="15.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9"/>
      <c r="L883" s="18"/>
      <c r="M883" s="17"/>
      <c r="N883" s="17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spans="1:30" ht="15.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9"/>
      <c r="L884" s="18"/>
      <c r="M884" s="17"/>
      <c r="N884" s="17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spans="1:30" ht="15.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9"/>
      <c r="L885" s="18"/>
      <c r="M885" s="17"/>
      <c r="N885" s="17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spans="1:30" ht="15.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9"/>
      <c r="L886" s="18"/>
      <c r="M886" s="17"/>
      <c r="N886" s="17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spans="1:30" ht="15.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9"/>
      <c r="L887" s="18"/>
      <c r="M887" s="17"/>
      <c r="N887" s="17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spans="1:30" ht="15.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9"/>
      <c r="L888" s="18"/>
      <c r="M888" s="17"/>
      <c r="N888" s="17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spans="1:30" ht="15.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9"/>
      <c r="L889" s="18"/>
      <c r="M889" s="17"/>
      <c r="N889" s="17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spans="1:30" ht="15.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9"/>
      <c r="L890" s="18"/>
      <c r="M890" s="17"/>
      <c r="N890" s="17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spans="1:30" ht="15.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9"/>
      <c r="L891" s="18"/>
      <c r="M891" s="17"/>
      <c r="N891" s="17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spans="1:30" ht="15.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9"/>
      <c r="L892" s="18"/>
      <c r="M892" s="17"/>
      <c r="N892" s="17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spans="1:30" ht="15.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9"/>
      <c r="L893" s="18"/>
      <c r="M893" s="17"/>
      <c r="N893" s="17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spans="1:30" ht="15.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9"/>
      <c r="L894" s="18"/>
      <c r="M894" s="17"/>
      <c r="N894" s="17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spans="1:30" ht="15.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9"/>
      <c r="L895" s="18"/>
      <c r="M895" s="17"/>
      <c r="N895" s="17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spans="1:30" ht="15.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9"/>
      <c r="L896" s="18"/>
      <c r="M896" s="17"/>
      <c r="N896" s="17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spans="1:30" ht="15.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9"/>
      <c r="L897" s="18"/>
      <c r="M897" s="17"/>
      <c r="N897" s="17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spans="1:30" ht="15.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9"/>
      <c r="L898" s="18"/>
      <c r="M898" s="17"/>
      <c r="N898" s="17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spans="1:30" ht="15.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9"/>
      <c r="L899" s="18"/>
      <c r="M899" s="17"/>
      <c r="N899" s="17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spans="1:30" ht="15.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9"/>
      <c r="L900" s="18"/>
      <c r="M900" s="17"/>
      <c r="N900" s="17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spans="1:30" ht="15.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9"/>
      <c r="L901" s="18"/>
      <c r="M901" s="17"/>
      <c r="N901" s="17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spans="1:30" ht="15.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9"/>
      <c r="L902" s="18"/>
      <c r="M902" s="17"/>
      <c r="N902" s="17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spans="1:30" ht="15.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9"/>
      <c r="L903" s="18"/>
      <c r="M903" s="17"/>
      <c r="N903" s="17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spans="1:30" ht="15.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9"/>
      <c r="L904" s="18"/>
      <c r="M904" s="17"/>
      <c r="N904" s="17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spans="1:30" ht="15.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9"/>
      <c r="L905" s="18"/>
      <c r="M905" s="17"/>
      <c r="N905" s="17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spans="1:30" ht="15.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9"/>
      <c r="L906" s="18"/>
      <c r="M906" s="17"/>
      <c r="N906" s="17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spans="1:30" ht="15.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9"/>
      <c r="L907" s="18"/>
      <c r="M907" s="17"/>
      <c r="N907" s="17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spans="1:30" ht="15.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9"/>
      <c r="L908" s="18"/>
      <c r="M908" s="17"/>
      <c r="N908" s="17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spans="1:30" ht="15.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9"/>
      <c r="L909" s="18"/>
      <c r="M909" s="17"/>
      <c r="N909" s="17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spans="1:30" ht="15.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9"/>
      <c r="L910" s="18"/>
      <c r="M910" s="17"/>
      <c r="N910" s="17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spans="1:30" ht="15.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9"/>
      <c r="L911" s="18"/>
      <c r="M911" s="17"/>
      <c r="N911" s="17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spans="1:30" ht="15.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9"/>
      <c r="L912" s="18"/>
      <c r="M912" s="17"/>
      <c r="N912" s="17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spans="1:30" ht="15.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9"/>
      <c r="L913" s="18"/>
      <c r="M913" s="17"/>
      <c r="N913" s="17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spans="1:30" ht="15.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9"/>
      <c r="L914" s="18"/>
      <c r="M914" s="17"/>
      <c r="N914" s="17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spans="1:30" ht="15.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9"/>
      <c r="L915" s="18"/>
      <c r="M915" s="17"/>
      <c r="N915" s="17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spans="1:30" ht="15.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9"/>
      <c r="L916" s="18"/>
      <c r="M916" s="17"/>
      <c r="N916" s="17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spans="1:30" ht="15.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9"/>
      <c r="L917" s="18"/>
      <c r="M917" s="17"/>
      <c r="N917" s="17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spans="1:30" ht="15.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9"/>
      <c r="L918" s="18"/>
      <c r="M918" s="17"/>
      <c r="N918" s="17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spans="1:30" ht="15.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9"/>
      <c r="L919" s="18"/>
      <c r="M919" s="17"/>
      <c r="N919" s="17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spans="1:30" ht="15.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9"/>
      <c r="L920" s="18"/>
      <c r="M920" s="17"/>
      <c r="N920" s="17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spans="1:30" ht="15.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9"/>
      <c r="L921" s="18"/>
      <c r="M921" s="17"/>
      <c r="N921" s="17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spans="1:30" ht="15.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9"/>
      <c r="L922" s="18"/>
      <c r="M922" s="17"/>
      <c r="N922" s="17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spans="1:30" ht="15.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9"/>
      <c r="L923" s="18"/>
      <c r="M923" s="17"/>
      <c r="N923" s="17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spans="1:30" ht="15.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9"/>
      <c r="L924" s="18"/>
      <c r="M924" s="17"/>
      <c r="N924" s="17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spans="1:30" ht="15.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9"/>
      <c r="L925" s="18"/>
      <c r="M925" s="17"/>
      <c r="N925" s="17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spans="1:30" ht="15.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9"/>
      <c r="L926" s="18"/>
      <c r="M926" s="17"/>
      <c r="N926" s="17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spans="1:30" ht="15.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9"/>
      <c r="L927" s="18"/>
      <c r="M927" s="17"/>
      <c r="N927" s="17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spans="1:30" ht="15.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9"/>
      <c r="L928" s="18"/>
      <c r="M928" s="17"/>
      <c r="N928" s="17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spans="1:30" ht="15.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9"/>
      <c r="L929" s="18"/>
      <c r="M929" s="17"/>
      <c r="N929" s="17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spans="1:30" ht="15.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9"/>
      <c r="L930" s="18"/>
      <c r="M930" s="17"/>
      <c r="N930" s="17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spans="1:30" ht="15.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9"/>
      <c r="L931" s="18"/>
      <c r="M931" s="17"/>
      <c r="N931" s="17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spans="1:30" ht="15.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9"/>
      <c r="L932" s="18"/>
      <c r="M932" s="17"/>
      <c r="N932" s="17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spans="1:30" ht="15.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9"/>
      <c r="L933" s="18"/>
      <c r="M933" s="17"/>
      <c r="N933" s="17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spans="1:30" ht="15.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9"/>
      <c r="L934" s="18"/>
      <c r="M934" s="17"/>
      <c r="N934" s="17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spans="1:30" ht="15.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9"/>
      <c r="L935" s="18"/>
      <c r="M935" s="17"/>
      <c r="N935" s="17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spans="1:30" ht="15.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9"/>
      <c r="L936" s="18"/>
      <c r="M936" s="17"/>
      <c r="N936" s="17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spans="1:30" ht="15.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9"/>
      <c r="L937" s="18"/>
      <c r="M937" s="17"/>
      <c r="N937" s="17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spans="1:30" ht="15.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9"/>
      <c r="L938" s="18"/>
      <c r="M938" s="17"/>
      <c r="N938" s="17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spans="1:30" ht="15.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9"/>
      <c r="L939" s="18"/>
      <c r="M939" s="17"/>
      <c r="N939" s="17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spans="1:30" ht="15.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9"/>
      <c r="L940" s="18"/>
      <c r="M940" s="17"/>
      <c r="N940" s="17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spans="1:30" ht="15.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9"/>
      <c r="L941" s="18"/>
      <c r="M941" s="17"/>
      <c r="N941" s="17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spans="1:30" ht="15.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9"/>
      <c r="L942" s="18"/>
      <c r="M942" s="17"/>
      <c r="N942" s="17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spans="1:30" ht="15.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9"/>
      <c r="L943" s="18"/>
      <c r="M943" s="17"/>
      <c r="N943" s="17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spans="1:30" ht="15.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9"/>
      <c r="L944" s="18"/>
      <c r="M944" s="17"/>
      <c r="N944" s="17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spans="1:30" ht="15.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9"/>
      <c r="L945" s="18"/>
      <c r="M945" s="17"/>
      <c r="N945" s="17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spans="1:30" ht="15.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9"/>
      <c r="L946" s="18"/>
      <c r="M946" s="17"/>
      <c r="N946" s="17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spans="1:30" ht="15.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9"/>
      <c r="L947" s="18"/>
      <c r="M947" s="17"/>
      <c r="N947" s="17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spans="1:30" ht="15.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9"/>
      <c r="L948" s="18"/>
      <c r="M948" s="17"/>
      <c r="N948" s="17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spans="1:30" ht="15.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9"/>
      <c r="L949" s="18"/>
      <c r="M949" s="17"/>
      <c r="N949" s="17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spans="1:30" ht="15.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9"/>
      <c r="L950" s="18"/>
      <c r="M950" s="17"/>
      <c r="N950" s="17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spans="1:30" ht="15.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9"/>
      <c r="L951" s="18"/>
      <c r="M951" s="17"/>
      <c r="N951" s="17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spans="1:30" ht="15.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9"/>
      <c r="L952" s="18"/>
      <c r="M952" s="17"/>
      <c r="N952" s="17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spans="1:30" ht="15.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9"/>
      <c r="L953" s="18"/>
      <c r="M953" s="17"/>
      <c r="N953" s="17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spans="1:30" ht="15.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9"/>
      <c r="L954" s="18"/>
      <c r="M954" s="17"/>
      <c r="N954" s="17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spans="1:30" ht="15.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9"/>
      <c r="L955" s="18"/>
      <c r="M955" s="17"/>
      <c r="N955" s="17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spans="1:30" ht="15.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9"/>
      <c r="L956" s="18"/>
      <c r="M956" s="17"/>
      <c r="N956" s="17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spans="1:30" ht="15.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9"/>
      <c r="L957" s="18"/>
      <c r="M957" s="17"/>
      <c r="N957" s="17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spans="1:30" ht="15.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9"/>
      <c r="L958" s="18"/>
      <c r="M958" s="17"/>
      <c r="N958" s="17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spans="1:30" ht="15.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9"/>
      <c r="L959" s="18"/>
      <c r="M959" s="17"/>
      <c r="N959" s="17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spans="1:30" ht="15.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9"/>
      <c r="L960" s="18"/>
      <c r="M960" s="17"/>
      <c r="N960" s="17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spans="1:30" ht="15.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9"/>
      <c r="L961" s="18"/>
      <c r="M961" s="17"/>
      <c r="N961" s="17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spans="1:30" ht="15.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9"/>
      <c r="L962" s="18"/>
      <c r="M962" s="17"/>
      <c r="N962" s="17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spans="1:30" ht="15.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9"/>
      <c r="L963" s="18"/>
      <c r="M963" s="17"/>
      <c r="N963" s="17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spans="1:30" ht="15.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9"/>
      <c r="L964" s="18"/>
      <c r="M964" s="17"/>
      <c r="N964" s="17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spans="1:30" ht="15.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9"/>
      <c r="L965" s="18"/>
      <c r="M965" s="17"/>
      <c r="N965" s="17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spans="1:30" ht="15.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9"/>
      <c r="L966" s="18"/>
      <c r="M966" s="17"/>
      <c r="N966" s="17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spans="1:30" ht="15.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9"/>
      <c r="L967" s="18"/>
      <c r="M967" s="17"/>
      <c r="N967" s="17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spans="1:30" ht="15.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9"/>
      <c r="L968" s="18"/>
      <c r="M968" s="17"/>
      <c r="N968" s="17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spans="1:30" ht="15.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9"/>
      <c r="L969" s="18"/>
      <c r="M969" s="17"/>
      <c r="N969" s="17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spans="1:30" ht="15.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9"/>
      <c r="L970" s="18"/>
      <c r="M970" s="17"/>
      <c r="N970" s="17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spans="1:30" ht="15.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9"/>
      <c r="L971" s="18"/>
      <c r="M971" s="17"/>
      <c r="N971" s="17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spans="1:30" ht="15.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9"/>
      <c r="L972" s="18"/>
      <c r="M972" s="17"/>
      <c r="N972" s="17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spans="1:30" ht="15.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9"/>
      <c r="L973" s="18"/>
      <c r="M973" s="17"/>
      <c r="N973" s="17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spans="1:30" ht="15.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9"/>
      <c r="L974" s="18"/>
      <c r="M974" s="17"/>
      <c r="N974" s="17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spans="1:30" ht="15.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9"/>
      <c r="L975" s="18"/>
      <c r="M975" s="17"/>
      <c r="N975" s="17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spans="1:30" ht="15.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9"/>
      <c r="L976" s="18"/>
      <c r="M976" s="17"/>
      <c r="N976" s="17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spans="1:30" ht="15.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9"/>
      <c r="L977" s="18"/>
      <c r="M977" s="17"/>
      <c r="N977" s="17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spans="1:30" ht="15.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9"/>
      <c r="L978" s="18"/>
      <c r="M978" s="17"/>
      <c r="N978" s="17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spans="1:30" ht="15.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9"/>
      <c r="L979" s="18"/>
      <c r="M979" s="17"/>
      <c r="N979" s="17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spans="1:30" ht="15.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9"/>
      <c r="L980" s="18"/>
      <c r="M980" s="17"/>
      <c r="N980" s="17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spans="1:30" ht="15.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9"/>
      <c r="L981" s="18"/>
      <c r="M981" s="17"/>
      <c r="N981" s="17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spans="1:30" ht="15.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9"/>
      <c r="L982" s="18"/>
      <c r="M982" s="17"/>
      <c r="N982" s="17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spans="1:30" ht="15.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9"/>
      <c r="L983" s="18"/>
      <c r="M983" s="17"/>
      <c r="N983" s="17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spans="1:30" ht="15.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9"/>
      <c r="L984" s="18"/>
      <c r="M984" s="17"/>
      <c r="N984" s="17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spans="1:30" ht="15.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9"/>
      <c r="L985" s="18"/>
      <c r="M985" s="17"/>
      <c r="N985" s="17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spans="1:30" ht="15.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9"/>
      <c r="L986" s="18"/>
      <c r="M986" s="17"/>
      <c r="N986" s="17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spans="1:30" ht="15.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9"/>
      <c r="L987" s="18"/>
      <c r="M987" s="17"/>
      <c r="N987" s="17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spans="1:30" ht="15.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9"/>
      <c r="L988" s="18"/>
      <c r="M988" s="17"/>
      <c r="N988" s="17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spans="1:30" ht="15.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9"/>
      <c r="L989" s="18"/>
      <c r="M989" s="17"/>
      <c r="N989" s="17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spans="1:30" ht="15.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9"/>
      <c r="L990" s="18"/>
      <c r="M990" s="17"/>
      <c r="N990" s="17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spans="1:30" ht="15.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9"/>
      <c r="L991" s="18"/>
      <c r="M991" s="17"/>
      <c r="N991" s="17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spans="1:30" ht="15.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9"/>
      <c r="L992" s="18"/>
      <c r="M992" s="17"/>
      <c r="N992" s="17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spans="1:30" ht="15.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9"/>
      <c r="L993" s="18"/>
      <c r="M993" s="17"/>
      <c r="N993" s="17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spans="1:30" ht="15.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9"/>
      <c r="L994" s="18"/>
      <c r="M994" s="17"/>
      <c r="N994" s="17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spans="1:30" ht="15.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9"/>
      <c r="L995" s="18"/>
      <c r="M995" s="17"/>
      <c r="N995" s="17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spans="1:30" ht="15.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9"/>
      <c r="L996" s="18"/>
      <c r="M996" s="17"/>
      <c r="N996" s="17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spans="1:30" ht="15.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9"/>
      <c r="L997" s="18"/>
      <c r="M997" s="17"/>
      <c r="N997" s="17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spans="1:30" ht="15.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9"/>
      <c r="L998" s="18"/>
      <c r="M998" s="17"/>
      <c r="N998" s="17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</sheetData>
  <mergeCells count="27">
    <mergeCell ref="E55:F55"/>
    <mergeCell ref="B22:C22"/>
    <mergeCell ref="A50:F50"/>
    <mergeCell ref="E52:F52"/>
    <mergeCell ref="B27:C27"/>
    <mergeCell ref="C55:D55"/>
    <mergeCell ref="C54:D54"/>
    <mergeCell ref="B23:C23"/>
    <mergeCell ref="C53:D53"/>
    <mergeCell ref="C52:D52"/>
    <mergeCell ref="E54:F54"/>
    <mergeCell ref="E53:F53"/>
    <mergeCell ref="D27:F27"/>
    <mergeCell ref="B25:C25"/>
    <mergeCell ref="A20:F20"/>
    <mergeCell ref="D25:F25"/>
    <mergeCell ref="D24:F24"/>
    <mergeCell ref="D23:F23"/>
    <mergeCell ref="C51:D51"/>
    <mergeCell ref="D26:F26"/>
    <mergeCell ref="A30:F30"/>
    <mergeCell ref="B24:C24"/>
    <mergeCell ref="D22:F22"/>
    <mergeCell ref="B26:C26"/>
    <mergeCell ref="D21:F21"/>
    <mergeCell ref="B21:C21"/>
    <mergeCell ref="E51:F51"/>
  </mergeCells>
  <dataValidations count="1">
    <dataValidation type="list" allowBlank="1" showErrorMessage="1" sqref="A2:A6">
      <formula1>"High,Medium,Low"</formula1>
    </dataValidation>
  </dataValidation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opLeftCell="A16" workbookViewId="0"/>
  </sheetViews>
  <sheetFormatPr defaultColWidth="12.6328125" defaultRowHeight="15.75" customHeight="1"/>
  <cols>
    <col min="1" max="1" width="6" style="2" customWidth="1"/>
    <col min="2" max="2" width="30" style="2" customWidth="1"/>
    <col min="3" max="3" width="60" style="2" customWidth="1"/>
    <col min="4" max="4" width="12" style="2" customWidth="1"/>
    <col min="5" max="5" width="50" style="2" customWidth="1"/>
  </cols>
  <sheetData>
    <row r="1" spans="1:26" ht="15.75" customHeight="1">
      <c r="A1" s="3" t="s">
        <v>115</v>
      </c>
      <c r="B1" s="3" t="s">
        <v>116</v>
      </c>
      <c r="C1" s="3" t="s">
        <v>117</v>
      </c>
      <c r="D1" s="3" t="s">
        <v>118</v>
      </c>
      <c r="E1" s="3" t="s">
        <v>119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">
      <c r="A2" s="4" t="s">
        <v>120</v>
      </c>
      <c r="B2" s="4" t="s">
        <v>121</v>
      </c>
      <c r="C2" s="4" t="s">
        <v>122</v>
      </c>
      <c r="D2" s="4" t="s">
        <v>123</v>
      </c>
      <c r="E2" s="4" t="s">
        <v>124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">
      <c r="A3" s="4" t="s">
        <v>125</v>
      </c>
      <c r="B3" s="4" t="s">
        <v>126</v>
      </c>
      <c r="C3" s="4" t="s">
        <v>127</v>
      </c>
      <c r="D3" s="4" t="s">
        <v>128</v>
      </c>
      <c r="E3" s="4" t="s">
        <v>129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4" t="s">
        <v>130</v>
      </c>
      <c r="B4" s="4" t="s">
        <v>131</v>
      </c>
      <c r="C4" s="4" t="s">
        <v>132</v>
      </c>
      <c r="D4" s="4" t="s">
        <v>133</v>
      </c>
      <c r="E4" s="4" t="s">
        <v>134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4" t="s">
        <v>135</v>
      </c>
      <c r="B5" s="4" t="s">
        <v>136</v>
      </c>
      <c r="C5" s="4" t="s">
        <v>137</v>
      </c>
      <c r="D5" s="4" t="s">
        <v>133</v>
      </c>
      <c r="E5" s="4" t="s">
        <v>138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4" t="s">
        <v>139</v>
      </c>
      <c r="B6" s="4" t="s">
        <v>140</v>
      </c>
      <c r="C6" s="4" t="s">
        <v>141</v>
      </c>
      <c r="D6" s="4" t="s">
        <v>142</v>
      </c>
      <c r="E6" s="4" t="s">
        <v>143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4" t="s">
        <v>144</v>
      </c>
      <c r="B7" s="4" t="s">
        <v>145</v>
      </c>
      <c r="C7" s="4" t="s">
        <v>146</v>
      </c>
      <c r="D7" s="4" t="s">
        <v>147</v>
      </c>
      <c r="E7" s="4" t="s">
        <v>148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4" t="s">
        <v>149</v>
      </c>
      <c r="B8" s="4" t="s">
        <v>150</v>
      </c>
      <c r="C8" s="4" t="s">
        <v>151</v>
      </c>
      <c r="D8" s="4" t="s">
        <v>152</v>
      </c>
      <c r="E8" s="4" t="s">
        <v>153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4" t="s">
        <v>154</v>
      </c>
      <c r="B9" s="4" t="s">
        <v>150</v>
      </c>
      <c r="C9" s="4" t="s">
        <v>155</v>
      </c>
      <c r="D9" s="4" t="s">
        <v>152</v>
      </c>
      <c r="E9" s="4" t="s">
        <v>156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4" t="s">
        <v>157</v>
      </c>
      <c r="B10" s="4" t="s">
        <v>158</v>
      </c>
      <c r="C10" s="4" t="s">
        <v>159</v>
      </c>
      <c r="D10" s="4" t="s">
        <v>160</v>
      </c>
      <c r="E10" s="4" t="s">
        <v>161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4" t="s">
        <v>162</v>
      </c>
      <c r="B11" s="4" t="s">
        <v>163</v>
      </c>
      <c r="C11" s="4" t="s">
        <v>164</v>
      </c>
      <c r="D11" s="4" t="s">
        <v>165</v>
      </c>
      <c r="E11" s="4" t="s">
        <v>166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4" t="s">
        <v>172</v>
      </c>
      <c r="B13" s="4" t="s">
        <v>173</v>
      </c>
      <c r="C13" s="4" t="s">
        <v>174</v>
      </c>
      <c r="D13" s="4" t="s">
        <v>175</v>
      </c>
      <c r="E13" s="4" t="s">
        <v>176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4" t="s">
        <v>177</v>
      </c>
      <c r="B14" s="4" t="s">
        <v>178</v>
      </c>
      <c r="C14" s="4" t="s">
        <v>179</v>
      </c>
      <c r="D14" s="4" t="s">
        <v>170</v>
      </c>
      <c r="E14" s="4" t="s">
        <v>180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4" t="s">
        <v>181</v>
      </c>
      <c r="B15" s="4" t="s">
        <v>182</v>
      </c>
      <c r="C15" s="4" t="s">
        <v>183</v>
      </c>
      <c r="D15" s="4" t="s">
        <v>184</v>
      </c>
      <c r="E15" s="4" t="s">
        <v>185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4" t="s">
        <v>186</v>
      </c>
      <c r="B16" s="4" t="s">
        <v>187</v>
      </c>
      <c r="C16" s="4" t="s">
        <v>188</v>
      </c>
      <c r="D16" s="4" t="s">
        <v>170</v>
      </c>
      <c r="E16" s="4" t="s">
        <v>189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4" t="s">
        <v>190</v>
      </c>
      <c r="B17" s="4" t="s">
        <v>191</v>
      </c>
      <c r="C17" s="4" t="s">
        <v>192</v>
      </c>
      <c r="D17" s="4" t="s">
        <v>193</v>
      </c>
      <c r="E17" s="4" t="s">
        <v>194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4" t="s">
        <v>195</v>
      </c>
      <c r="B18" s="4" t="s">
        <v>196</v>
      </c>
      <c r="C18" s="4" t="s">
        <v>197</v>
      </c>
      <c r="D18" s="4" t="s">
        <v>198</v>
      </c>
      <c r="E18" s="4" t="s">
        <v>199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4" t="s">
        <v>200</v>
      </c>
      <c r="B19" s="4" t="s">
        <v>201</v>
      </c>
      <c r="C19" s="4" t="s">
        <v>202</v>
      </c>
      <c r="D19" s="4" t="s">
        <v>203</v>
      </c>
      <c r="E19" s="4" t="s">
        <v>204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4" t="s">
        <v>205</v>
      </c>
      <c r="B20" s="4" t="s">
        <v>206</v>
      </c>
      <c r="C20" s="4" t="s">
        <v>207</v>
      </c>
      <c r="D20" s="4" t="s">
        <v>208</v>
      </c>
      <c r="E20" s="4" t="s">
        <v>209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4" t="s">
        <v>210</v>
      </c>
      <c r="B21" s="4" t="s">
        <v>211</v>
      </c>
      <c r="C21" s="4" t="s">
        <v>212</v>
      </c>
      <c r="D21" s="4" t="s">
        <v>213</v>
      </c>
      <c r="E21" s="4" t="s">
        <v>214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">
      <c r="A22" s="4" t="s">
        <v>215</v>
      </c>
      <c r="B22" s="4" t="s">
        <v>216</v>
      </c>
      <c r="C22" s="4" t="s">
        <v>217</v>
      </c>
      <c r="D22" s="4" t="s">
        <v>218</v>
      </c>
      <c r="E22" s="4" t="s">
        <v>219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Referensi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2026-05-10T09:32:50Z</dcterms:created>
  <dcterms:modified xsi:type="dcterms:W3CDTF">2026-05-15T13:34:16Z</dcterms:modified>
</cp:coreProperties>
</file>